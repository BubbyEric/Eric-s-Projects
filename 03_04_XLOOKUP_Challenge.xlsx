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ragonskilllzxdgoldendragonx/Downloads/Spreadsheet Files/"/>
    </mc:Choice>
  </mc:AlternateContent>
  <xr:revisionPtr revIDLastSave="0" documentId="13_ncr:1_{DB40543F-6638-2947-A1C0-8F653D119374}" xr6:coauthVersionLast="47" xr6:coauthVersionMax="47" xr10:uidLastSave="{00000000-0000-0000-0000-000000000000}"/>
  <bookViews>
    <workbookView xWindow="0" yWindow="0" windowWidth="28800" windowHeight="18000" xr2:uid="{81C7903A-D16C-45A5-AD9E-4CBB8DAFA3F3}"/>
  </bookViews>
  <sheets>
    <sheet name="XLOOKUP Challen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0" i="1"/>
  <c r="D6" i="1"/>
  <c r="E6" i="1" s="1"/>
  <c r="F6" i="1" s="1"/>
  <c r="G6" i="1" s="1"/>
  <c r="C10" i="1"/>
  <c r="D10" i="1"/>
  <c r="D21" i="1" s="1"/>
  <c r="D22" i="1" s="1"/>
  <c r="E10" i="1"/>
  <c r="E21" i="1" s="1"/>
  <c r="E22" i="1" s="1"/>
  <c r="F10" i="1"/>
  <c r="F21" i="1" s="1"/>
  <c r="F22" i="1" s="1"/>
  <c r="G10" i="1"/>
  <c r="C19" i="1"/>
  <c r="C21" i="1" s="1"/>
  <c r="C22" i="1" s="1"/>
  <c r="D19" i="1"/>
  <c r="E19" i="1"/>
  <c r="F19" i="1"/>
  <c r="G19" i="1"/>
  <c r="G21" i="1" l="1"/>
  <c r="G22" i="1"/>
  <c r="G23" i="1"/>
  <c r="C23" i="1"/>
  <c r="F23" i="1"/>
  <c r="E23" i="1"/>
  <c r="D23" i="1"/>
</calcChain>
</file>

<file path=xl/sharedStrings.xml><?xml version="1.0" encoding="utf-8"?>
<sst xmlns="http://schemas.openxmlformats.org/spreadsheetml/2006/main" count="43" uniqueCount="26">
  <si>
    <t>← Answer</t>
  </si>
  <si>
    <t>Research and Development</t>
  </si>
  <si>
    <t xml:space="preserve">Net Income </t>
  </si>
  <si>
    <t>Taxes</t>
  </si>
  <si>
    <t>Income Before Taxes</t>
  </si>
  <si>
    <t>Operating Income (EBIT)</t>
  </si>
  <si>
    <t xml:space="preserve">Total Operating Expenses </t>
  </si>
  <si>
    <t>Other</t>
  </si>
  <si>
    <t>Rent and Utilities</t>
  </si>
  <si>
    <t>Interest</t>
  </si>
  <si>
    <t>Salaries and Wages</t>
  </si>
  <si>
    <t>General and Administrative</t>
  </si>
  <si>
    <t>Sales and Marketing</t>
  </si>
  <si>
    <t>Operating Expenses</t>
  </si>
  <si>
    <t xml:space="preserve">Gross Profit </t>
  </si>
  <si>
    <t>Cost of Goods Sold</t>
  </si>
  <si>
    <t>Gross Revenue</t>
  </si>
  <si>
    <t>Revenue</t>
  </si>
  <si>
    <t>List</t>
  </si>
  <si>
    <t>Income Statement</t>
  </si>
  <si>
    <t>(US dollar, in thousands)</t>
  </si>
  <si>
    <t>Red30 Tech Financial Statement</t>
  </si>
  <si>
    <t>← Toggle Metric</t>
  </si>
  <si>
    <t>Jan 2024 - May 2024</t>
  </si>
  <si>
    <t>Challenge 1: Find the value for the following metric for March 2024 using XLOOKUP</t>
  </si>
  <si>
    <t>Challenge 2: Find the value for the Gross Profit for any period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</si>
</sst>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4"/>
      <name val="Calibri"/>
      <family val="2"/>
    </font>
    <font>
      <b/>
      <sz val="12"/>
      <color theme="0"/>
      <name val="Calibri"/>
      <family val="2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1F3864"/>
        <bgColor rgb="FF1F38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3" fillId="0" borderId="0" xfId="0" applyFont="1"/>
    <xf numFmtId="42" fontId="3" fillId="0" borderId="0" xfId="0" applyNumberFormat="1" applyFont="1"/>
    <xf numFmtId="0" fontId="3" fillId="0" borderId="0" xfId="0" applyFont="1" applyAlignment="1">
      <alignment horizontal="left"/>
    </xf>
    <xf numFmtId="42" fontId="4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42" fontId="4" fillId="0" borderId="4" xfId="0" applyNumberFormat="1" applyFont="1" applyBorder="1"/>
    <xf numFmtId="0" fontId="3" fillId="0" borderId="5" xfId="0" applyFont="1" applyBorder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left"/>
    </xf>
    <xf numFmtId="42" fontId="4" fillId="0" borderId="2" xfId="0" applyNumberFormat="1" applyFont="1" applyBorder="1"/>
    <xf numFmtId="0" fontId="3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3" borderId="0" xfId="0" applyFont="1" applyFill="1"/>
    <xf numFmtId="0" fontId="3" fillId="3" borderId="5" xfId="0" applyFont="1" applyFill="1" applyBorder="1" applyAlignment="1">
      <alignment horizontal="left"/>
    </xf>
    <xf numFmtId="42" fontId="4" fillId="0" borderId="0" xfId="0" applyNumberFormat="1" applyFont="1"/>
    <xf numFmtId="0" fontId="2" fillId="0" borderId="6" xfId="0" applyFont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0" borderId="0" xfId="0" applyFont="1"/>
    <xf numFmtId="17" fontId="5" fillId="4" borderId="2" xfId="0" applyNumberFormat="1" applyFont="1" applyFill="1" applyBorder="1"/>
    <xf numFmtId="164" fontId="2" fillId="0" borderId="0" xfId="1" applyNumberFormat="1" applyFont="1"/>
    <xf numFmtId="164" fontId="2" fillId="0" borderId="4" xfId="1" applyNumberFormat="1" applyFont="1" applyBorder="1"/>
    <xf numFmtId="164" fontId="2" fillId="0" borderId="2" xfId="1" applyNumberFormat="1" applyFont="1" applyBorder="1"/>
    <xf numFmtId="14" fontId="2" fillId="0" borderId="0" xfId="0" applyNumberFormat="1" applyFont="1" applyAlignment="1">
      <alignment horizontal="left"/>
    </xf>
    <xf numFmtId="42" fontId="4" fillId="2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171450</xdr:rowOff>
    </xdr:from>
    <xdr:ext cx="1809750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77507EB-E625-4E98-BABD-F9B9D98A52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5" y="171450"/>
          <a:ext cx="1809750" cy="628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78E8-5DD3-4C46-AACC-0DEBF939DC7C}">
  <dimension ref="B1:AA955"/>
  <sheetViews>
    <sheetView showGridLines="0" tabSelected="1" workbookViewId="0">
      <selection activeCell="E34" sqref="E34"/>
    </sheetView>
  </sheetViews>
  <sheetFormatPr baseColWidth="10" defaultColWidth="11.1640625" defaultRowHeight="15" customHeight="1" x14ac:dyDescent="0.2"/>
  <cols>
    <col min="1" max="1" width="1.83203125" customWidth="1"/>
    <col min="2" max="2" width="33" customWidth="1"/>
    <col min="3" max="3" width="11.83203125" customWidth="1"/>
    <col min="4" max="6" width="10.6640625" customWidth="1"/>
    <col min="7" max="7" width="11.6640625" customWidth="1"/>
    <col min="8" max="8" width="10.6640625" customWidth="1"/>
    <col min="9" max="27" width="10.5" customWidth="1"/>
  </cols>
  <sheetData>
    <row r="1" spans="2:27" ht="16.5" customHeight="1" x14ac:dyDescent="0.3">
      <c r="B1" s="2"/>
      <c r="C1" s="2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5.75" customHeight="1" x14ac:dyDescent="0.2">
      <c r="B2" s="2"/>
      <c r="C2" s="4" t="s">
        <v>21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5.75" customHeight="1" x14ac:dyDescent="0.2">
      <c r="B3" s="2"/>
      <c r="C3" s="4" t="s">
        <v>23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.75" customHeight="1" x14ac:dyDescent="0.2">
      <c r="B4" s="2"/>
      <c r="C4" s="1" t="s">
        <v>20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6.5" customHeight="1" x14ac:dyDescent="0.3">
      <c r="B5" s="22"/>
      <c r="C5" s="1"/>
      <c r="D5" s="22"/>
      <c r="E5" s="22"/>
      <c r="F5" s="22"/>
      <c r="G5" s="2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15.75" customHeight="1" x14ac:dyDescent="0.2">
      <c r="B6" s="21" t="s">
        <v>19</v>
      </c>
      <c r="C6" s="23">
        <v>45322</v>
      </c>
      <c r="D6" s="23">
        <f>EOMONTH(C6,1)</f>
        <v>45351</v>
      </c>
      <c r="E6" s="23">
        <f t="shared" ref="E6:G6" si="0">EOMONTH(D6,1)</f>
        <v>45382</v>
      </c>
      <c r="F6" s="23">
        <f t="shared" si="0"/>
        <v>45412</v>
      </c>
      <c r="G6" s="23">
        <f t="shared" si="0"/>
        <v>45443</v>
      </c>
      <c r="H6" s="1"/>
      <c r="I6" s="1"/>
      <c r="J6" s="4" t="s">
        <v>18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5.75" customHeight="1" x14ac:dyDescent="0.2">
      <c r="B7" s="13" t="s">
        <v>17</v>
      </c>
      <c r="C7" s="17"/>
      <c r="D7" s="17"/>
      <c r="E7" s="17"/>
      <c r="F7" s="17"/>
      <c r="G7" s="17"/>
      <c r="H7" s="1"/>
      <c r="I7" s="1"/>
      <c r="J7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5.75" customHeight="1" x14ac:dyDescent="0.2">
      <c r="B8" s="16" t="s">
        <v>16</v>
      </c>
      <c r="C8" s="24">
        <v>914835</v>
      </c>
      <c r="D8" s="24">
        <v>917929</v>
      </c>
      <c r="E8" s="24">
        <v>952348</v>
      </c>
      <c r="F8" s="24">
        <v>985671</v>
      </c>
      <c r="G8" s="24">
        <v>1013072</v>
      </c>
      <c r="H8" s="1"/>
      <c r="I8" s="1"/>
      <c r="J8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15.75" customHeight="1" x14ac:dyDescent="0.2">
      <c r="B9" s="20" t="s">
        <v>15</v>
      </c>
      <c r="C9" s="25">
        <v>332980</v>
      </c>
      <c r="D9" s="25">
        <v>344393</v>
      </c>
      <c r="E9" s="25">
        <v>361716</v>
      </c>
      <c r="F9" s="25">
        <v>375557</v>
      </c>
      <c r="G9" s="25">
        <v>382939</v>
      </c>
      <c r="H9" s="1"/>
      <c r="I9" s="1"/>
      <c r="J9" t="s">
        <v>14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15.75" customHeight="1" x14ac:dyDescent="0.2">
      <c r="B10" s="11" t="s">
        <v>14</v>
      </c>
      <c r="C10" s="19">
        <f>C8-C9</f>
        <v>581855</v>
      </c>
      <c r="D10" s="19">
        <f>D8-D9</f>
        <v>573536</v>
      </c>
      <c r="E10" s="28">
        <f>E8-E9</f>
        <v>590632</v>
      </c>
      <c r="F10" s="19">
        <f>F8-F9</f>
        <v>610114</v>
      </c>
      <c r="G10" s="19">
        <f>G8-G9</f>
        <v>630133</v>
      </c>
      <c r="H10" s="1"/>
      <c r="I10" s="1"/>
      <c r="J10" t="s">
        <v>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.75" customHeight="1" x14ac:dyDescent="0.2">
      <c r="B11" s="18" t="s">
        <v>13</v>
      </c>
      <c r="C11" s="17"/>
      <c r="D11" s="17"/>
      <c r="E11" s="17"/>
      <c r="F11" s="17"/>
      <c r="G11" s="17"/>
      <c r="H11" s="1"/>
      <c r="I11" s="1"/>
      <c r="J11" t="s">
        <v>12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5.75" customHeight="1" x14ac:dyDescent="0.2">
      <c r="B12" s="16" t="s">
        <v>1</v>
      </c>
      <c r="C12" s="24">
        <v>72272</v>
      </c>
      <c r="D12" s="24">
        <v>66084</v>
      </c>
      <c r="E12" s="24">
        <v>67934</v>
      </c>
      <c r="F12" s="24">
        <v>68014</v>
      </c>
      <c r="G12" s="24">
        <v>78431</v>
      </c>
      <c r="H12" s="1"/>
      <c r="I12" s="1"/>
      <c r="J12" t="s">
        <v>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15.75" customHeight="1" x14ac:dyDescent="0.2">
      <c r="B13" s="16" t="s">
        <v>12</v>
      </c>
      <c r="C13" s="24">
        <v>47575</v>
      </c>
      <c r="D13" s="24">
        <v>47373</v>
      </c>
      <c r="E13" s="24">
        <v>49562</v>
      </c>
      <c r="F13" s="24">
        <v>51425</v>
      </c>
      <c r="G13" s="24">
        <v>52627</v>
      </c>
      <c r="H13" s="1"/>
      <c r="I13" s="1"/>
      <c r="J13" t="s">
        <v>10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5.75" customHeight="1" x14ac:dyDescent="0.2">
      <c r="B14" s="16" t="s">
        <v>11</v>
      </c>
      <c r="C14" s="24">
        <v>7310</v>
      </c>
      <c r="D14" s="24">
        <v>7671</v>
      </c>
      <c r="E14" s="24">
        <v>8572</v>
      </c>
      <c r="F14" s="24">
        <v>6489</v>
      </c>
      <c r="G14" s="24">
        <v>7689</v>
      </c>
      <c r="H14" s="1"/>
      <c r="I14" s="1"/>
      <c r="J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5.75" customHeight="1" x14ac:dyDescent="0.2">
      <c r="B15" s="16" t="s">
        <v>10</v>
      </c>
      <c r="C15" s="24">
        <v>338983</v>
      </c>
      <c r="D15" s="24">
        <v>352451</v>
      </c>
      <c r="E15" s="24">
        <v>358242</v>
      </c>
      <c r="F15" s="24">
        <v>361774</v>
      </c>
      <c r="G15" s="24">
        <v>364123</v>
      </c>
      <c r="H15" s="1"/>
      <c r="I15" s="1"/>
      <c r="J15" t="s">
        <v>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15.75" customHeight="1" x14ac:dyDescent="0.2">
      <c r="B16" s="16" t="s">
        <v>9</v>
      </c>
      <c r="C16" s="24">
        <v>4982</v>
      </c>
      <c r="D16" s="24">
        <v>4748</v>
      </c>
      <c r="E16" s="24">
        <v>4258</v>
      </c>
      <c r="F16" s="24">
        <v>4460</v>
      </c>
      <c r="G16" s="24">
        <v>4122</v>
      </c>
      <c r="H16" s="1"/>
      <c r="I16" s="1"/>
      <c r="J16" t="s">
        <v>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5.75" customHeight="1" x14ac:dyDescent="0.2">
      <c r="B17" s="16" t="s">
        <v>8</v>
      </c>
      <c r="C17" s="24">
        <v>60975</v>
      </c>
      <c r="D17" s="24">
        <v>61984</v>
      </c>
      <c r="E17" s="24">
        <v>61865</v>
      </c>
      <c r="F17" s="24">
        <v>59443</v>
      </c>
      <c r="G17" s="24">
        <v>60363</v>
      </c>
      <c r="H17" s="1"/>
      <c r="I17" s="1"/>
      <c r="J17" t="s">
        <v>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5.75" customHeight="1" x14ac:dyDescent="0.2">
      <c r="B18" s="16" t="s">
        <v>7</v>
      </c>
      <c r="C18" s="24">
        <v>1249</v>
      </c>
      <c r="D18" s="24">
        <v>1104</v>
      </c>
      <c r="E18" s="24">
        <v>925</v>
      </c>
      <c r="F18" s="24">
        <v>1423</v>
      </c>
      <c r="G18" s="24">
        <v>1239</v>
      </c>
      <c r="H18" s="1"/>
      <c r="I18" s="1"/>
      <c r="J18" t="s">
        <v>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5.75" customHeight="1" x14ac:dyDescent="0.2">
      <c r="B19" s="15" t="s">
        <v>6</v>
      </c>
      <c r="C19" s="14">
        <f>SUM(C12:C18)</f>
        <v>533346</v>
      </c>
      <c r="D19" s="14">
        <f>SUM(D12:D18)</f>
        <v>541415</v>
      </c>
      <c r="E19" s="14">
        <f>SUM(E12:E18)</f>
        <v>551358</v>
      </c>
      <c r="F19" s="14">
        <f>SUM(F12:F18)</f>
        <v>553028</v>
      </c>
      <c r="G19" s="14">
        <f>SUM(G12:G18)</f>
        <v>568594</v>
      </c>
      <c r="H19" s="1"/>
      <c r="I19" s="1"/>
      <c r="J19" t="s">
        <v>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5.75" customHeight="1" x14ac:dyDescent="0.2">
      <c r="B20" s="13" t="s">
        <v>5</v>
      </c>
      <c r="C20" s="12"/>
      <c r="D20" s="12"/>
      <c r="E20" s="12"/>
      <c r="F20" s="12"/>
      <c r="G20" s="12"/>
      <c r="H20" s="1"/>
      <c r="I20" s="1"/>
      <c r="J20" t="s">
        <v>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.75" customHeight="1" x14ac:dyDescent="0.2">
      <c r="B21" s="11" t="s">
        <v>4</v>
      </c>
      <c r="C21" s="10">
        <f>C10-C19</f>
        <v>48509</v>
      </c>
      <c r="D21" s="10">
        <f>D10-D19</f>
        <v>32121</v>
      </c>
      <c r="E21" s="10">
        <f>E10-E19</f>
        <v>39274</v>
      </c>
      <c r="F21" s="10">
        <f>F10-F19</f>
        <v>57086</v>
      </c>
      <c r="G21" s="10">
        <f>G10-G19</f>
        <v>61539</v>
      </c>
      <c r="H21" s="1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5.75" customHeight="1" x14ac:dyDescent="0.2">
      <c r="B22" s="9" t="s">
        <v>3</v>
      </c>
      <c r="C22" s="26">
        <f>C21*21%</f>
        <v>10186.89</v>
      </c>
      <c r="D22" s="26">
        <f>D21*21%</f>
        <v>6745.41</v>
      </c>
      <c r="E22" s="26">
        <f>E21*21%</f>
        <v>8247.5399999999991</v>
      </c>
      <c r="F22" s="26">
        <f>F21*21%</f>
        <v>11988.06</v>
      </c>
      <c r="G22" s="26">
        <f>G21*21%</f>
        <v>12923.189999999999</v>
      </c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5.75" customHeight="1" thickBot="1" x14ac:dyDescent="0.25">
      <c r="B23" s="8" t="s">
        <v>2</v>
      </c>
      <c r="C23" s="7">
        <f>C21-C22</f>
        <v>38322.11</v>
      </c>
      <c r="D23" s="7">
        <f>D21-D22</f>
        <v>25375.59</v>
      </c>
      <c r="E23" s="7">
        <f>E21-E22</f>
        <v>31026.46</v>
      </c>
      <c r="F23" s="7">
        <f>F21-F22</f>
        <v>45097.94</v>
      </c>
      <c r="G23" s="7">
        <f>G21-G22</f>
        <v>48615.81</v>
      </c>
      <c r="H23" s="1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.75" customHeight="1" thickTop="1" x14ac:dyDescent="0.2">
      <c r="B24" s="6"/>
      <c r="C24" s="5"/>
      <c r="D24" s="4"/>
      <c r="E24" s="4"/>
      <c r="F24" s="4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.75" customHeight="1" x14ac:dyDescent="0.2"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.75" customHeight="1" x14ac:dyDescent="0.2"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.75" customHeight="1" x14ac:dyDescent="0.2">
      <c r="B27" s="2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5" customHeight="1" x14ac:dyDescent="0.2"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customHeight="1" x14ac:dyDescent="0.2">
      <c r="B29" s="1" t="s">
        <v>14</v>
      </c>
      <c r="C29" s="2" t="s">
        <v>22</v>
      </c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customHeight="1" x14ac:dyDescent="0.2">
      <c r="B30" s="3">
        <f>_xlfn.XLOOKUP(B29,B7:B23,E7:E23,,0)</f>
        <v>590632</v>
      </c>
      <c r="C30" s="2" t="s">
        <v>0</v>
      </c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customHeight="1" x14ac:dyDescent="0.2"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customHeight="1" x14ac:dyDescent="0.2">
      <c r="B32" s="2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5" customHeight="1" x14ac:dyDescent="0.2"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customHeight="1" x14ac:dyDescent="0.2">
      <c r="B34" s="27">
        <v>45322</v>
      </c>
      <c r="C34" s="2" t="s">
        <v>22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5.75" customHeight="1" x14ac:dyDescent="0.2">
      <c r="B35" s="3">
        <f>_xlfn.XLOOKUP(B34,C6:G6,C10:G10,,0)</f>
        <v>581855</v>
      </c>
      <c r="C35" s="2" t="s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customHeight="1" x14ac:dyDescent="0.2"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customHeight="1" x14ac:dyDescent="0.2"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customHeight="1" x14ac:dyDescent="0.2"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.75" customHeight="1" x14ac:dyDescent="0.2"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5.75" customHeight="1" x14ac:dyDescent="0.2"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5.75" customHeight="1" x14ac:dyDescent="0.2"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5.75" customHeight="1" x14ac:dyDescent="0.2"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5.75" customHeight="1" x14ac:dyDescent="0.2"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5.75" customHeight="1" x14ac:dyDescent="0.2"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5.75" customHeight="1" x14ac:dyDescent="0.2"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5.75" customHeight="1" x14ac:dyDescent="0.2"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5.75" customHeight="1" x14ac:dyDescent="0.2"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5.75" customHeight="1" x14ac:dyDescent="0.2"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5.75" customHeight="1" x14ac:dyDescent="0.2"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5.75" customHeight="1" x14ac:dyDescent="0.2"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5.75" customHeight="1" x14ac:dyDescent="0.2"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.75" customHeight="1" x14ac:dyDescent="0.2"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.75" customHeight="1" x14ac:dyDescent="0.2"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.75" customHeight="1" x14ac:dyDescent="0.2"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customHeight="1" x14ac:dyDescent="0.2"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.75" customHeight="1" x14ac:dyDescent="0.2"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.75" customHeight="1" x14ac:dyDescent="0.2"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.75" customHeight="1" x14ac:dyDescent="0.2"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customHeight="1" x14ac:dyDescent="0.2"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.75" customHeight="1" x14ac:dyDescent="0.2"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customHeight="1" x14ac:dyDescent="0.2"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.75" customHeight="1" x14ac:dyDescent="0.2"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customHeight="1" x14ac:dyDescent="0.2"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.75" customHeight="1" x14ac:dyDescent="0.2"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customHeight="1" x14ac:dyDescent="0.2"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customHeight="1" x14ac:dyDescent="0.2"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customHeight="1" x14ac:dyDescent="0.2"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customHeight="1" x14ac:dyDescent="0.2"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customHeight="1" x14ac:dyDescent="0.2"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customHeight="1" x14ac:dyDescent="0.2"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customHeight="1" x14ac:dyDescent="0.2"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customHeight="1" x14ac:dyDescent="0.2"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customHeight="1" x14ac:dyDescent="0.2"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customHeight="1" x14ac:dyDescent="0.2"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.75" customHeight="1" x14ac:dyDescent="0.2"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customHeight="1" x14ac:dyDescent="0.2"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.75" customHeight="1" x14ac:dyDescent="0.2"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.75" customHeight="1" x14ac:dyDescent="0.2"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.75" customHeight="1" x14ac:dyDescent="0.2"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.75" customHeight="1" x14ac:dyDescent="0.2"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.75" customHeight="1" x14ac:dyDescent="0.2"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.75" customHeight="1" x14ac:dyDescent="0.2"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.75" customHeight="1" x14ac:dyDescent="0.2"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.75" customHeight="1" x14ac:dyDescent="0.2"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.75" customHeight="1" x14ac:dyDescent="0.2"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.75" customHeight="1" x14ac:dyDescent="0.2"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.75" customHeight="1" x14ac:dyDescent="0.2"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.75" customHeight="1" x14ac:dyDescent="0.2"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.75" customHeight="1" x14ac:dyDescent="0.2"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.75" customHeight="1" x14ac:dyDescent="0.2"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.75" customHeight="1" x14ac:dyDescent="0.2"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.75" customHeight="1" x14ac:dyDescent="0.2"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.75" customHeight="1" x14ac:dyDescent="0.2"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.75" customHeight="1" x14ac:dyDescent="0.2"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.75" customHeight="1" x14ac:dyDescent="0.2"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.75" customHeight="1" x14ac:dyDescent="0.2"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.75" customHeight="1" x14ac:dyDescent="0.2"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.75" customHeight="1" x14ac:dyDescent="0.2"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.75" customHeight="1" x14ac:dyDescent="0.2"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.75" customHeight="1" x14ac:dyDescent="0.2"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.75" customHeight="1" x14ac:dyDescent="0.2"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.75" customHeight="1" x14ac:dyDescent="0.2"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.75" customHeight="1" x14ac:dyDescent="0.2"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.75" customHeight="1" x14ac:dyDescent="0.2"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.75" customHeight="1" x14ac:dyDescent="0.2"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.75" customHeight="1" x14ac:dyDescent="0.2"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.75" customHeight="1" x14ac:dyDescent="0.2"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.75" customHeight="1" x14ac:dyDescent="0.2"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.75" customHeight="1" x14ac:dyDescent="0.2"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.75" customHeight="1" x14ac:dyDescent="0.2"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.75" customHeight="1" x14ac:dyDescent="0.2"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.75" customHeight="1" x14ac:dyDescent="0.2"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.75" customHeight="1" x14ac:dyDescent="0.2"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.75" customHeight="1" x14ac:dyDescent="0.2"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.75" customHeight="1" x14ac:dyDescent="0.2"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.75" customHeight="1" x14ac:dyDescent="0.2"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.75" customHeight="1" x14ac:dyDescent="0.2"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.75" customHeight="1" x14ac:dyDescent="0.2"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.75" customHeight="1" x14ac:dyDescent="0.2"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.75" customHeight="1" x14ac:dyDescent="0.2"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.75" customHeight="1" x14ac:dyDescent="0.2"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.75" customHeight="1" x14ac:dyDescent="0.2"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.75" customHeight="1" x14ac:dyDescent="0.2"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.75" customHeight="1" x14ac:dyDescent="0.2"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.75" customHeight="1" x14ac:dyDescent="0.2"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.75" customHeight="1" x14ac:dyDescent="0.2"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.75" customHeight="1" x14ac:dyDescent="0.2"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.75" customHeight="1" x14ac:dyDescent="0.2"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.75" customHeight="1" x14ac:dyDescent="0.2"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.75" customHeight="1" x14ac:dyDescent="0.2"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.75" customHeight="1" x14ac:dyDescent="0.2"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.75" customHeight="1" x14ac:dyDescent="0.2"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.75" customHeight="1" x14ac:dyDescent="0.2"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.75" customHeight="1" x14ac:dyDescent="0.2"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.75" customHeight="1" x14ac:dyDescent="0.2"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.75" customHeight="1" x14ac:dyDescent="0.2"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.75" customHeight="1" x14ac:dyDescent="0.2"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.75" customHeight="1" x14ac:dyDescent="0.2"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.75" customHeight="1" x14ac:dyDescent="0.2"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.75" customHeight="1" x14ac:dyDescent="0.2"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.75" customHeight="1" x14ac:dyDescent="0.2"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.75" customHeight="1" x14ac:dyDescent="0.2"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.75" customHeight="1" x14ac:dyDescent="0.2"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.75" customHeight="1" x14ac:dyDescent="0.2"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.75" customHeight="1" x14ac:dyDescent="0.2"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.75" customHeight="1" x14ac:dyDescent="0.2"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.75" customHeight="1" x14ac:dyDescent="0.2"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.75" customHeight="1" x14ac:dyDescent="0.2"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.75" customHeight="1" x14ac:dyDescent="0.2"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.75" customHeight="1" x14ac:dyDescent="0.2"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.75" customHeight="1" x14ac:dyDescent="0.2"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.75" customHeight="1" x14ac:dyDescent="0.2"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.75" customHeight="1" x14ac:dyDescent="0.2"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.75" customHeight="1" x14ac:dyDescent="0.2"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.75" customHeight="1" x14ac:dyDescent="0.2"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.75" customHeight="1" x14ac:dyDescent="0.2"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.75" customHeight="1" x14ac:dyDescent="0.2"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.75" customHeight="1" x14ac:dyDescent="0.2"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.75" customHeight="1" x14ac:dyDescent="0.2"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.75" customHeight="1" x14ac:dyDescent="0.2"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.75" customHeight="1" x14ac:dyDescent="0.2"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.75" customHeight="1" x14ac:dyDescent="0.2"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.75" customHeight="1" x14ac:dyDescent="0.2"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.75" customHeight="1" x14ac:dyDescent="0.2"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.75" customHeight="1" x14ac:dyDescent="0.2"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.75" customHeight="1" x14ac:dyDescent="0.2"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.75" customHeight="1" x14ac:dyDescent="0.2"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.75" customHeight="1" x14ac:dyDescent="0.2"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.75" customHeight="1" x14ac:dyDescent="0.2"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.75" customHeight="1" x14ac:dyDescent="0.2"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.75" customHeight="1" x14ac:dyDescent="0.2"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.75" customHeight="1" x14ac:dyDescent="0.2"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.75" customHeight="1" x14ac:dyDescent="0.2"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.75" customHeight="1" x14ac:dyDescent="0.2"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.75" customHeight="1" x14ac:dyDescent="0.2"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.75" customHeight="1" x14ac:dyDescent="0.2"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.75" customHeight="1" x14ac:dyDescent="0.2"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.75" customHeight="1" x14ac:dyDescent="0.2"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.75" customHeight="1" x14ac:dyDescent="0.2"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.75" customHeight="1" x14ac:dyDescent="0.2"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.75" customHeight="1" x14ac:dyDescent="0.2"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.75" customHeight="1" x14ac:dyDescent="0.2"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.75" customHeight="1" x14ac:dyDescent="0.2"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.75" customHeight="1" x14ac:dyDescent="0.2"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.75" customHeight="1" x14ac:dyDescent="0.2"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.75" customHeight="1" x14ac:dyDescent="0.2"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.75" customHeight="1" x14ac:dyDescent="0.2"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.75" customHeight="1" x14ac:dyDescent="0.2"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.75" customHeight="1" x14ac:dyDescent="0.2"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.75" customHeight="1" x14ac:dyDescent="0.2"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.75" customHeight="1" x14ac:dyDescent="0.2"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.75" customHeight="1" x14ac:dyDescent="0.2"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.75" customHeight="1" x14ac:dyDescent="0.2"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.75" customHeight="1" x14ac:dyDescent="0.2"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.75" customHeight="1" x14ac:dyDescent="0.2"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.75" customHeight="1" x14ac:dyDescent="0.2"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.75" customHeight="1" x14ac:dyDescent="0.2"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.75" customHeight="1" x14ac:dyDescent="0.2"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.75" customHeight="1" x14ac:dyDescent="0.2"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.75" customHeight="1" x14ac:dyDescent="0.2"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5.75" customHeight="1" x14ac:dyDescent="0.2"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5.75" customHeight="1" x14ac:dyDescent="0.2"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5.75" customHeight="1" x14ac:dyDescent="0.2"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5.75" customHeight="1" x14ac:dyDescent="0.2"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5.75" customHeight="1" x14ac:dyDescent="0.2"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5.75" customHeight="1" x14ac:dyDescent="0.2"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5.75" customHeight="1" x14ac:dyDescent="0.2"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5.75" customHeight="1" x14ac:dyDescent="0.2"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5.75" customHeight="1" x14ac:dyDescent="0.2"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5.75" customHeight="1" x14ac:dyDescent="0.2"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5.75" customHeight="1" x14ac:dyDescent="0.2"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5.75" customHeight="1" x14ac:dyDescent="0.2"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5.75" customHeight="1" x14ac:dyDescent="0.2"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5.75" customHeight="1" x14ac:dyDescent="0.2"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5.75" customHeight="1" x14ac:dyDescent="0.2"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5.75" customHeight="1" x14ac:dyDescent="0.2"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5.75" customHeight="1" x14ac:dyDescent="0.2"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5.75" customHeight="1" x14ac:dyDescent="0.2"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5.75" customHeight="1" x14ac:dyDescent="0.2"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5.75" customHeight="1" x14ac:dyDescent="0.2"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5.75" customHeight="1" x14ac:dyDescent="0.2"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5.75" customHeight="1" x14ac:dyDescent="0.2"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5.75" customHeight="1" x14ac:dyDescent="0.2"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5.75" customHeight="1" x14ac:dyDescent="0.2"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5.75" customHeight="1" x14ac:dyDescent="0.2"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5.75" customHeight="1" x14ac:dyDescent="0.2"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5.75" customHeight="1" x14ac:dyDescent="0.2"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5.75" customHeight="1" x14ac:dyDescent="0.2"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5.75" customHeight="1" x14ac:dyDescent="0.2"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5.75" customHeight="1" x14ac:dyDescent="0.2"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5.75" customHeight="1" x14ac:dyDescent="0.2"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5.75" customHeight="1" x14ac:dyDescent="0.2"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5.75" customHeight="1" x14ac:dyDescent="0.2"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5.75" customHeight="1" x14ac:dyDescent="0.2"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5.75" customHeight="1" x14ac:dyDescent="0.2"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5.75" customHeight="1" x14ac:dyDescent="0.2"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5.75" customHeight="1" x14ac:dyDescent="0.2"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5.75" customHeight="1" x14ac:dyDescent="0.2"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5.75" customHeight="1" x14ac:dyDescent="0.2"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5.75" customHeight="1" x14ac:dyDescent="0.2"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5.75" customHeight="1" x14ac:dyDescent="0.2"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5.75" customHeight="1" x14ac:dyDescent="0.2"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5.75" customHeight="1" x14ac:dyDescent="0.2"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5.75" customHeight="1" x14ac:dyDescent="0.2"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5.75" customHeight="1" x14ac:dyDescent="0.2"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5.75" customHeight="1" x14ac:dyDescent="0.2"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5.75" customHeight="1" x14ac:dyDescent="0.2"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5.75" customHeight="1" x14ac:dyDescent="0.2"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5.75" customHeight="1" x14ac:dyDescent="0.2"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5.75" customHeight="1" x14ac:dyDescent="0.2"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5.75" customHeight="1" x14ac:dyDescent="0.2"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5.75" customHeight="1" x14ac:dyDescent="0.2"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5.75" customHeight="1" x14ac:dyDescent="0.2"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5.75" customHeight="1" x14ac:dyDescent="0.2"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5.75" customHeight="1" x14ac:dyDescent="0.2"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5.75" customHeight="1" x14ac:dyDescent="0.2"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5.75" customHeight="1" x14ac:dyDescent="0.2"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5.75" customHeight="1" x14ac:dyDescent="0.2"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5.75" customHeight="1" x14ac:dyDescent="0.2"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5.75" customHeight="1" x14ac:dyDescent="0.2"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5.75" customHeight="1" x14ac:dyDescent="0.2"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5.75" customHeight="1" x14ac:dyDescent="0.2"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5.75" customHeight="1" x14ac:dyDescent="0.2"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5.75" customHeight="1" x14ac:dyDescent="0.2"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5.75" customHeight="1" x14ac:dyDescent="0.2"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5.75" customHeight="1" x14ac:dyDescent="0.2"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5.75" customHeight="1" x14ac:dyDescent="0.2"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5.75" customHeight="1" x14ac:dyDescent="0.2"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5.75" customHeight="1" x14ac:dyDescent="0.2"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5.75" customHeight="1" x14ac:dyDescent="0.2"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5.75" customHeight="1" x14ac:dyDescent="0.2"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5.75" customHeight="1" x14ac:dyDescent="0.2"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5.75" customHeight="1" x14ac:dyDescent="0.2"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5.75" customHeight="1" x14ac:dyDescent="0.2"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5.75" customHeight="1" x14ac:dyDescent="0.2"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5.75" customHeight="1" x14ac:dyDescent="0.2"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5.75" customHeight="1" x14ac:dyDescent="0.2"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5.75" customHeight="1" x14ac:dyDescent="0.2"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5.75" customHeight="1" x14ac:dyDescent="0.2"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5.75" customHeight="1" x14ac:dyDescent="0.2"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5.75" customHeight="1" x14ac:dyDescent="0.2"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5.75" customHeight="1" x14ac:dyDescent="0.2"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5.75" customHeight="1" x14ac:dyDescent="0.2"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5.75" customHeight="1" x14ac:dyDescent="0.2"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5.75" customHeight="1" x14ac:dyDescent="0.2"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5.75" customHeight="1" x14ac:dyDescent="0.2"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5.75" customHeight="1" x14ac:dyDescent="0.2"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5.75" customHeight="1" x14ac:dyDescent="0.2"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5.75" customHeight="1" x14ac:dyDescent="0.2"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5.75" customHeight="1" x14ac:dyDescent="0.2"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5.75" customHeight="1" x14ac:dyDescent="0.2"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5.75" customHeight="1" x14ac:dyDescent="0.2"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5.75" customHeight="1" x14ac:dyDescent="0.2"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5.75" customHeight="1" x14ac:dyDescent="0.2"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5.75" customHeight="1" x14ac:dyDescent="0.2"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5.75" customHeight="1" x14ac:dyDescent="0.2"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5.75" customHeight="1" x14ac:dyDescent="0.2"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5.75" customHeight="1" x14ac:dyDescent="0.2"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5.75" customHeight="1" x14ac:dyDescent="0.2"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5.75" customHeight="1" x14ac:dyDescent="0.2"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5.75" customHeight="1" x14ac:dyDescent="0.2"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5.75" customHeight="1" x14ac:dyDescent="0.2"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5.75" customHeight="1" x14ac:dyDescent="0.2"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5.75" customHeight="1" x14ac:dyDescent="0.2"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5.75" customHeight="1" x14ac:dyDescent="0.2"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5.75" customHeight="1" x14ac:dyDescent="0.2"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5.75" customHeight="1" x14ac:dyDescent="0.2"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5.75" customHeight="1" x14ac:dyDescent="0.2"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5.75" customHeight="1" x14ac:dyDescent="0.2"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5.75" customHeight="1" x14ac:dyDescent="0.2"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5.75" customHeight="1" x14ac:dyDescent="0.2"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5.75" customHeight="1" x14ac:dyDescent="0.2"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5.75" customHeight="1" x14ac:dyDescent="0.2"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5.75" customHeight="1" x14ac:dyDescent="0.2"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5.75" customHeight="1" x14ac:dyDescent="0.2"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5.75" customHeight="1" x14ac:dyDescent="0.2"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5.75" customHeight="1" x14ac:dyDescent="0.2"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5.75" customHeight="1" x14ac:dyDescent="0.2"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5.75" customHeight="1" x14ac:dyDescent="0.2"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5.75" customHeight="1" x14ac:dyDescent="0.2"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5.75" customHeight="1" x14ac:dyDescent="0.2"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5.75" customHeight="1" x14ac:dyDescent="0.2"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5.75" customHeight="1" x14ac:dyDescent="0.2"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5.75" customHeight="1" x14ac:dyDescent="0.2"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5.75" customHeight="1" x14ac:dyDescent="0.2"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5.75" customHeight="1" x14ac:dyDescent="0.2"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5.75" customHeight="1" x14ac:dyDescent="0.2"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5.75" customHeight="1" x14ac:dyDescent="0.2"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5.75" customHeight="1" x14ac:dyDescent="0.2"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5.75" customHeight="1" x14ac:dyDescent="0.2"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5.75" customHeight="1" x14ac:dyDescent="0.2"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5.75" customHeight="1" x14ac:dyDescent="0.2"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5.75" customHeight="1" x14ac:dyDescent="0.2"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5.75" customHeight="1" x14ac:dyDescent="0.2"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5.75" customHeight="1" x14ac:dyDescent="0.2"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5.75" customHeight="1" x14ac:dyDescent="0.2"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5.75" customHeight="1" x14ac:dyDescent="0.2"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5.75" customHeight="1" x14ac:dyDescent="0.2"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5.75" customHeight="1" x14ac:dyDescent="0.2"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5.75" customHeight="1" x14ac:dyDescent="0.2"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5.75" customHeight="1" x14ac:dyDescent="0.2"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5.75" customHeight="1" x14ac:dyDescent="0.2"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5.75" customHeight="1" x14ac:dyDescent="0.2"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5.75" customHeight="1" x14ac:dyDescent="0.2"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5.75" customHeight="1" x14ac:dyDescent="0.2"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5.75" customHeight="1" x14ac:dyDescent="0.2"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5.75" customHeight="1" x14ac:dyDescent="0.2"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5.75" customHeight="1" x14ac:dyDescent="0.2"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5.75" customHeight="1" x14ac:dyDescent="0.2"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5.75" customHeight="1" x14ac:dyDescent="0.2"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5.75" customHeight="1" x14ac:dyDescent="0.2"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5.75" customHeight="1" x14ac:dyDescent="0.2"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5.75" customHeight="1" x14ac:dyDescent="0.2"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5.75" customHeight="1" x14ac:dyDescent="0.2"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5.75" customHeight="1" x14ac:dyDescent="0.2"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5.75" customHeight="1" x14ac:dyDescent="0.2"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5.75" customHeight="1" x14ac:dyDescent="0.2"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5.75" customHeight="1" x14ac:dyDescent="0.2"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5.75" customHeight="1" x14ac:dyDescent="0.2"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5.75" customHeight="1" x14ac:dyDescent="0.2"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5.75" customHeight="1" x14ac:dyDescent="0.2"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5.75" customHeight="1" x14ac:dyDescent="0.2"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5.75" customHeight="1" x14ac:dyDescent="0.2"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5.75" customHeight="1" x14ac:dyDescent="0.2"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5.75" customHeight="1" x14ac:dyDescent="0.2"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5.75" customHeight="1" x14ac:dyDescent="0.2"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5.75" customHeight="1" x14ac:dyDescent="0.2"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5.75" customHeight="1" x14ac:dyDescent="0.2"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5.75" customHeight="1" x14ac:dyDescent="0.2"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5.75" customHeight="1" x14ac:dyDescent="0.2"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5.75" customHeight="1" x14ac:dyDescent="0.2"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5.75" customHeight="1" x14ac:dyDescent="0.2"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5.75" customHeight="1" x14ac:dyDescent="0.2"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5.75" customHeight="1" x14ac:dyDescent="0.2"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5.75" customHeight="1" x14ac:dyDescent="0.2"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5.75" customHeight="1" x14ac:dyDescent="0.2"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5.75" customHeight="1" x14ac:dyDescent="0.2"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5.75" customHeight="1" x14ac:dyDescent="0.2"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5.75" customHeight="1" x14ac:dyDescent="0.2"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5.75" customHeight="1" x14ac:dyDescent="0.2"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5.75" customHeight="1" x14ac:dyDescent="0.2"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5.75" customHeight="1" x14ac:dyDescent="0.2"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5.75" customHeight="1" x14ac:dyDescent="0.2"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5.75" customHeight="1" x14ac:dyDescent="0.2"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5.75" customHeight="1" x14ac:dyDescent="0.2"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5.75" customHeight="1" x14ac:dyDescent="0.2"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5.75" customHeight="1" x14ac:dyDescent="0.2"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5.75" customHeight="1" x14ac:dyDescent="0.2"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5.75" customHeight="1" x14ac:dyDescent="0.2"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5.75" customHeight="1" x14ac:dyDescent="0.2"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5.75" customHeight="1" x14ac:dyDescent="0.2"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5.75" customHeight="1" x14ac:dyDescent="0.2"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5.75" customHeight="1" x14ac:dyDescent="0.2"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5.75" customHeight="1" x14ac:dyDescent="0.2"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5.75" customHeight="1" x14ac:dyDescent="0.2"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5.75" customHeight="1" x14ac:dyDescent="0.2"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5.75" customHeight="1" x14ac:dyDescent="0.2"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5.75" customHeight="1" x14ac:dyDescent="0.2"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5.75" customHeight="1" x14ac:dyDescent="0.2"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5.75" customHeight="1" x14ac:dyDescent="0.2"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5.75" customHeight="1" x14ac:dyDescent="0.2"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5.75" customHeight="1" x14ac:dyDescent="0.2"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5.75" customHeight="1" x14ac:dyDescent="0.2"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5.75" customHeight="1" x14ac:dyDescent="0.2"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5.75" customHeight="1" x14ac:dyDescent="0.2"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5.75" customHeight="1" x14ac:dyDescent="0.2"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5.75" customHeight="1" x14ac:dyDescent="0.2"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5.75" customHeight="1" x14ac:dyDescent="0.2"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5.75" customHeight="1" x14ac:dyDescent="0.2"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5.75" customHeight="1" x14ac:dyDescent="0.2"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5.75" customHeight="1" x14ac:dyDescent="0.2"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5.75" customHeight="1" x14ac:dyDescent="0.2"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5.75" customHeight="1" x14ac:dyDescent="0.2"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5.75" customHeight="1" x14ac:dyDescent="0.2"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5.75" customHeight="1" x14ac:dyDescent="0.2"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5.75" customHeight="1" x14ac:dyDescent="0.2"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5.75" customHeight="1" x14ac:dyDescent="0.2"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5.75" customHeight="1" x14ac:dyDescent="0.2"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5.75" customHeight="1" x14ac:dyDescent="0.2"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5.75" customHeight="1" x14ac:dyDescent="0.2"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5.75" customHeight="1" x14ac:dyDescent="0.2"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5.75" customHeight="1" x14ac:dyDescent="0.2"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5.75" customHeight="1" x14ac:dyDescent="0.2"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5.75" customHeight="1" x14ac:dyDescent="0.2"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5.75" customHeight="1" x14ac:dyDescent="0.2"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5.75" customHeight="1" x14ac:dyDescent="0.2"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5.75" customHeight="1" x14ac:dyDescent="0.2"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5.75" customHeight="1" x14ac:dyDescent="0.2"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5.75" customHeight="1" x14ac:dyDescent="0.2"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5.75" customHeight="1" x14ac:dyDescent="0.2"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5.75" customHeight="1" x14ac:dyDescent="0.2"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5.75" customHeight="1" x14ac:dyDescent="0.2"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5.75" customHeight="1" x14ac:dyDescent="0.2"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5.75" customHeight="1" x14ac:dyDescent="0.2"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5.75" customHeight="1" x14ac:dyDescent="0.2"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5.75" customHeight="1" x14ac:dyDescent="0.2"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5.75" customHeight="1" x14ac:dyDescent="0.2"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5.75" customHeight="1" x14ac:dyDescent="0.2"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5.75" customHeight="1" x14ac:dyDescent="0.2"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5.75" customHeight="1" x14ac:dyDescent="0.2"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5.75" customHeight="1" x14ac:dyDescent="0.2"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5.75" customHeight="1" x14ac:dyDescent="0.2"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5.75" customHeight="1" x14ac:dyDescent="0.2"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5.75" customHeight="1" x14ac:dyDescent="0.2"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5.75" customHeight="1" x14ac:dyDescent="0.2"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5.75" customHeight="1" x14ac:dyDescent="0.2"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5.75" customHeight="1" x14ac:dyDescent="0.2"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5.75" customHeight="1" x14ac:dyDescent="0.2"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5.75" customHeight="1" x14ac:dyDescent="0.2"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5.75" customHeight="1" x14ac:dyDescent="0.2"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5.75" customHeight="1" x14ac:dyDescent="0.2"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5.75" customHeight="1" x14ac:dyDescent="0.2"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5.75" customHeight="1" x14ac:dyDescent="0.2"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5.75" customHeight="1" x14ac:dyDescent="0.2"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5.75" customHeight="1" x14ac:dyDescent="0.2"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5.75" customHeight="1" x14ac:dyDescent="0.2"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5.75" customHeight="1" x14ac:dyDescent="0.2"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5.75" customHeight="1" x14ac:dyDescent="0.2"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5.75" customHeight="1" x14ac:dyDescent="0.2"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5.75" customHeight="1" x14ac:dyDescent="0.2"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5.75" customHeight="1" x14ac:dyDescent="0.2"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5.75" customHeight="1" x14ac:dyDescent="0.2"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5.75" customHeight="1" x14ac:dyDescent="0.2"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5.75" customHeight="1" x14ac:dyDescent="0.2"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5.75" customHeight="1" x14ac:dyDescent="0.2"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5.75" customHeight="1" x14ac:dyDescent="0.2"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5.75" customHeight="1" x14ac:dyDescent="0.2"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5.75" customHeight="1" x14ac:dyDescent="0.2"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5.75" customHeight="1" x14ac:dyDescent="0.2"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5.75" customHeight="1" x14ac:dyDescent="0.2"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5.75" customHeight="1" x14ac:dyDescent="0.2"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5.75" customHeight="1" x14ac:dyDescent="0.2"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5.75" customHeight="1" x14ac:dyDescent="0.2"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5.75" customHeight="1" x14ac:dyDescent="0.2"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5.75" customHeight="1" x14ac:dyDescent="0.2"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5.75" customHeight="1" x14ac:dyDescent="0.2"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5.75" customHeight="1" x14ac:dyDescent="0.2"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5.75" customHeight="1" x14ac:dyDescent="0.2"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5.75" customHeight="1" x14ac:dyDescent="0.2"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5.75" customHeight="1" x14ac:dyDescent="0.2"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5.75" customHeight="1" x14ac:dyDescent="0.2"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5.75" customHeight="1" x14ac:dyDescent="0.2"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5.75" customHeight="1" x14ac:dyDescent="0.2"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5.75" customHeight="1" x14ac:dyDescent="0.2"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5.75" customHeight="1" x14ac:dyDescent="0.2"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5.75" customHeight="1" x14ac:dyDescent="0.2"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5.75" customHeight="1" x14ac:dyDescent="0.2"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5.75" customHeight="1" x14ac:dyDescent="0.2"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5.75" customHeight="1" x14ac:dyDescent="0.2"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5.75" customHeight="1" x14ac:dyDescent="0.2"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5.75" customHeight="1" x14ac:dyDescent="0.2"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5.75" customHeight="1" x14ac:dyDescent="0.2"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5.75" customHeight="1" x14ac:dyDescent="0.2"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5.75" customHeight="1" x14ac:dyDescent="0.2"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5.75" customHeight="1" x14ac:dyDescent="0.2"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5.75" customHeight="1" x14ac:dyDescent="0.2"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5.75" customHeight="1" x14ac:dyDescent="0.2"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5.75" customHeight="1" x14ac:dyDescent="0.2"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5.75" customHeight="1" x14ac:dyDescent="0.2"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5.75" customHeight="1" x14ac:dyDescent="0.2"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5.75" customHeight="1" x14ac:dyDescent="0.2"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5.75" customHeight="1" x14ac:dyDescent="0.2"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5.75" customHeight="1" x14ac:dyDescent="0.2"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5.75" customHeight="1" x14ac:dyDescent="0.2"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5.75" customHeight="1" x14ac:dyDescent="0.2"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5.75" customHeight="1" x14ac:dyDescent="0.2"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5.75" customHeight="1" x14ac:dyDescent="0.2"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5.75" customHeight="1" x14ac:dyDescent="0.2"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5.75" customHeight="1" x14ac:dyDescent="0.2"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5.75" customHeight="1" x14ac:dyDescent="0.2"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5.75" customHeight="1" x14ac:dyDescent="0.2"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5.75" customHeight="1" x14ac:dyDescent="0.2"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5.75" customHeight="1" x14ac:dyDescent="0.2"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5.75" customHeight="1" x14ac:dyDescent="0.2"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5.75" customHeight="1" x14ac:dyDescent="0.2"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5.75" customHeight="1" x14ac:dyDescent="0.2"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5.75" customHeight="1" x14ac:dyDescent="0.2"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5.75" customHeight="1" x14ac:dyDescent="0.2"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5.75" customHeight="1" x14ac:dyDescent="0.2"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5.75" customHeight="1" x14ac:dyDescent="0.2"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5.75" customHeight="1" x14ac:dyDescent="0.2"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5.75" customHeight="1" x14ac:dyDescent="0.2"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5.75" customHeight="1" x14ac:dyDescent="0.2"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5.75" customHeight="1" x14ac:dyDescent="0.2"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5.75" customHeight="1" x14ac:dyDescent="0.2"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5.75" customHeight="1" x14ac:dyDescent="0.2"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5.75" customHeight="1" x14ac:dyDescent="0.2"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5.75" customHeight="1" x14ac:dyDescent="0.2"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5.75" customHeight="1" x14ac:dyDescent="0.2"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5.75" customHeight="1" x14ac:dyDescent="0.2"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5.75" customHeight="1" x14ac:dyDescent="0.2"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5.75" customHeight="1" x14ac:dyDescent="0.2"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5.75" customHeight="1" x14ac:dyDescent="0.2"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5.75" customHeight="1" x14ac:dyDescent="0.2"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5.75" customHeight="1" x14ac:dyDescent="0.2"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5.75" customHeight="1" x14ac:dyDescent="0.2"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5.75" customHeight="1" x14ac:dyDescent="0.2"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5.75" customHeight="1" x14ac:dyDescent="0.2"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5.75" customHeight="1" x14ac:dyDescent="0.2"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5.75" customHeight="1" x14ac:dyDescent="0.2"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5.75" customHeight="1" x14ac:dyDescent="0.2"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5.75" customHeight="1" x14ac:dyDescent="0.2"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5.75" customHeight="1" x14ac:dyDescent="0.2"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5.75" customHeight="1" x14ac:dyDescent="0.2"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5.75" customHeight="1" x14ac:dyDescent="0.2"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5.75" customHeight="1" x14ac:dyDescent="0.2"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5.75" customHeight="1" x14ac:dyDescent="0.2"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5.75" customHeight="1" x14ac:dyDescent="0.2"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5.75" customHeight="1" x14ac:dyDescent="0.2"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5.75" customHeight="1" x14ac:dyDescent="0.2"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5.75" customHeight="1" x14ac:dyDescent="0.2"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5.75" customHeight="1" x14ac:dyDescent="0.2"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5.75" customHeight="1" x14ac:dyDescent="0.2"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5.75" customHeight="1" x14ac:dyDescent="0.2"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5.75" customHeight="1" x14ac:dyDescent="0.2"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5.75" customHeight="1" x14ac:dyDescent="0.2"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5.75" customHeight="1" x14ac:dyDescent="0.2"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5.75" customHeight="1" x14ac:dyDescent="0.2"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5.75" customHeight="1" x14ac:dyDescent="0.2"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5.75" customHeight="1" x14ac:dyDescent="0.2"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5.75" customHeight="1" x14ac:dyDescent="0.2"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5.75" customHeight="1" x14ac:dyDescent="0.2"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5.75" customHeight="1" x14ac:dyDescent="0.2"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5.75" customHeight="1" x14ac:dyDescent="0.2"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5.75" customHeight="1" x14ac:dyDescent="0.2"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5.75" customHeight="1" x14ac:dyDescent="0.2"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5.75" customHeight="1" x14ac:dyDescent="0.2"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5.75" customHeight="1" x14ac:dyDescent="0.2"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5.75" customHeight="1" x14ac:dyDescent="0.2"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5.75" customHeight="1" x14ac:dyDescent="0.2"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5.75" customHeight="1" x14ac:dyDescent="0.2"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5.75" customHeight="1" x14ac:dyDescent="0.2"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5.75" customHeight="1" x14ac:dyDescent="0.2"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5.75" customHeight="1" x14ac:dyDescent="0.2"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5.75" customHeight="1" x14ac:dyDescent="0.2"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5.75" customHeight="1" x14ac:dyDescent="0.2"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5.75" customHeight="1" x14ac:dyDescent="0.2"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5.75" customHeight="1" x14ac:dyDescent="0.2"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5.75" customHeight="1" x14ac:dyDescent="0.2"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5.75" customHeight="1" x14ac:dyDescent="0.2"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5.75" customHeight="1" x14ac:dyDescent="0.2"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5.75" customHeight="1" x14ac:dyDescent="0.2"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5.75" customHeight="1" x14ac:dyDescent="0.2"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5.75" customHeight="1" x14ac:dyDescent="0.2"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5.75" customHeight="1" x14ac:dyDescent="0.2"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5.75" customHeight="1" x14ac:dyDescent="0.2"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5.75" customHeight="1" x14ac:dyDescent="0.2"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5.75" customHeight="1" x14ac:dyDescent="0.2"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5.75" customHeight="1" x14ac:dyDescent="0.2"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5.75" customHeight="1" x14ac:dyDescent="0.2"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5.75" customHeight="1" x14ac:dyDescent="0.2"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5.75" customHeight="1" x14ac:dyDescent="0.2"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5.75" customHeight="1" x14ac:dyDescent="0.2"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5.75" customHeight="1" x14ac:dyDescent="0.2"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5.75" customHeight="1" x14ac:dyDescent="0.2"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5.75" customHeight="1" x14ac:dyDescent="0.2"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5.75" customHeight="1" x14ac:dyDescent="0.2"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5.75" customHeight="1" x14ac:dyDescent="0.2"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5.75" customHeight="1" x14ac:dyDescent="0.2"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5.75" customHeight="1" x14ac:dyDescent="0.2"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5.75" customHeight="1" x14ac:dyDescent="0.2"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5.75" customHeight="1" x14ac:dyDescent="0.2"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5.75" customHeight="1" x14ac:dyDescent="0.2"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5.75" customHeight="1" x14ac:dyDescent="0.2"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5.75" customHeight="1" x14ac:dyDescent="0.2"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5.75" customHeight="1" x14ac:dyDescent="0.2"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5.75" customHeight="1" x14ac:dyDescent="0.2"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5.75" customHeight="1" x14ac:dyDescent="0.2"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5.75" customHeight="1" x14ac:dyDescent="0.2"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5.75" customHeight="1" x14ac:dyDescent="0.2"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5.75" customHeight="1" x14ac:dyDescent="0.2"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5.75" customHeight="1" x14ac:dyDescent="0.2"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5.75" customHeight="1" x14ac:dyDescent="0.2"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5.75" customHeight="1" x14ac:dyDescent="0.2"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5.75" customHeight="1" x14ac:dyDescent="0.2"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5.75" customHeight="1" x14ac:dyDescent="0.2"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5.75" customHeight="1" x14ac:dyDescent="0.2"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5.75" customHeight="1" x14ac:dyDescent="0.2"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5.75" customHeight="1" x14ac:dyDescent="0.2"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5.75" customHeight="1" x14ac:dyDescent="0.2"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5.75" customHeight="1" x14ac:dyDescent="0.2"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5.75" customHeight="1" x14ac:dyDescent="0.2"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5.75" customHeight="1" x14ac:dyDescent="0.2"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5.75" customHeight="1" x14ac:dyDescent="0.2"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5.75" customHeight="1" x14ac:dyDescent="0.2"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5.75" customHeight="1" x14ac:dyDescent="0.2"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5.75" customHeight="1" x14ac:dyDescent="0.2"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5.75" customHeight="1" x14ac:dyDescent="0.2"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5.75" customHeight="1" x14ac:dyDescent="0.2"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5.75" customHeight="1" x14ac:dyDescent="0.2"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5.75" customHeight="1" x14ac:dyDescent="0.2"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5.75" customHeight="1" x14ac:dyDescent="0.2"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5.75" customHeight="1" x14ac:dyDescent="0.2"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5.75" customHeight="1" x14ac:dyDescent="0.2"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5.75" customHeight="1" x14ac:dyDescent="0.2"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5.75" customHeight="1" x14ac:dyDescent="0.2"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5.75" customHeight="1" x14ac:dyDescent="0.2"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5.75" customHeight="1" x14ac:dyDescent="0.2"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5.75" customHeight="1" x14ac:dyDescent="0.2"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5.75" customHeight="1" x14ac:dyDescent="0.2"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5.75" customHeight="1" x14ac:dyDescent="0.2"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5.75" customHeight="1" x14ac:dyDescent="0.2"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5.75" customHeight="1" x14ac:dyDescent="0.2"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5.75" customHeight="1" x14ac:dyDescent="0.2"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5.75" customHeight="1" x14ac:dyDescent="0.2"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5.75" customHeight="1" x14ac:dyDescent="0.2"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5.75" customHeight="1" x14ac:dyDescent="0.2"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5.75" customHeight="1" x14ac:dyDescent="0.2"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5.75" customHeight="1" x14ac:dyDescent="0.2"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5.75" customHeight="1" x14ac:dyDescent="0.2"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5.75" customHeight="1" x14ac:dyDescent="0.2"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5.75" customHeight="1" x14ac:dyDescent="0.2"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5.75" customHeight="1" x14ac:dyDescent="0.2"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5.75" customHeight="1" x14ac:dyDescent="0.2"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5.75" customHeight="1" x14ac:dyDescent="0.2"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5.75" customHeight="1" x14ac:dyDescent="0.2"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5.75" customHeight="1" x14ac:dyDescent="0.2"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5.75" customHeight="1" x14ac:dyDescent="0.2"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5.75" customHeight="1" x14ac:dyDescent="0.2"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5.75" customHeight="1" x14ac:dyDescent="0.2"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5.75" customHeight="1" x14ac:dyDescent="0.2"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5.75" customHeight="1" x14ac:dyDescent="0.2"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5.75" customHeight="1" x14ac:dyDescent="0.2"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5.75" customHeight="1" x14ac:dyDescent="0.2"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5.75" customHeight="1" x14ac:dyDescent="0.2"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5.75" customHeight="1" x14ac:dyDescent="0.2"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5.75" customHeight="1" x14ac:dyDescent="0.2"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5.75" customHeight="1" x14ac:dyDescent="0.2"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5.75" customHeight="1" x14ac:dyDescent="0.2"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5.75" customHeight="1" x14ac:dyDescent="0.2"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5.75" customHeight="1" x14ac:dyDescent="0.2"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5.75" customHeight="1" x14ac:dyDescent="0.2"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5.75" customHeight="1" x14ac:dyDescent="0.2"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5.75" customHeight="1" x14ac:dyDescent="0.2"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5.75" customHeight="1" x14ac:dyDescent="0.2"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5.75" customHeight="1" x14ac:dyDescent="0.2"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5.75" customHeight="1" x14ac:dyDescent="0.2"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5.75" customHeight="1" x14ac:dyDescent="0.2"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5.75" customHeight="1" x14ac:dyDescent="0.2"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5.75" customHeight="1" x14ac:dyDescent="0.2"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5.75" customHeight="1" x14ac:dyDescent="0.2"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5.75" customHeight="1" x14ac:dyDescent="0.2"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5.75" customHeight="1" x14ac:dyDescent="0.2"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5.75" customHeight="1" x14ac:dyDescent="0.2"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5.75" customHeight="1" x14ac:dyDescent="0.2"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5.75" customHeight="1" x14ac:dyDescent="0.2"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5.75" customHeight="1" x14ac:dyDescent="0.2"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5.75" customHeight="1" x14ac:dyDescent="0.2"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5.75" customHeight="1" x14ac:dyDescent="0.2"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5.75" customHeight="1" x14ac:dyDescent="0.2"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5.75" customHeight="1" x14ac:dyDescent="0.2"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5.75" customHeight="1" x14ac:dyDescent="0.2"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5.75" customHeight="1" x14ac:dyDescent="0.2"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5.75" customHeight="1" x14ac:dyDescent="0.2"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5.75" customHeight="1" x14ac:dyDescent="0.2"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5.75" customHeight="1" x14ac:dyDescent="0.2"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5.75" customHeight="1" x14ac:dyDescent="0.2"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5.75" customHeight="1" x14ac:dyDescent="0.2"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5.75" customHeight="1" x14ac:dyDescent="0.2"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5.75" customHeight="1" x14ac:dyDescent="0.2"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5.75" customHeight="1" x14ac:dyDescent="0.2"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5.75" customHeight="1" x14ac:dyDescent="0.2"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5.75" customHeight="1" x14ac:dyDescent="0.2"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5.75" customHeight="1" x14ac:dyDescent="0.2"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5.75" customHeight="1" x14ac:dyDescent="0.2"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5.75" customHeight="1" x14ac:dyDescent="0.2"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5.75" customHeight="1" x14ac:dyDescent="0.2"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5.75" customHeight="1" x14ac:dyDescent="0.2"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5.75" customHeight="1" x14ac:dyDescent="0.2"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5.75" customHeight="1" x14ac:dyDescent="0.2"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5.75" customHeight="1" x14ac:dyDescent="0.2"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5.75" customHeight="1" x14ac:dyDescent="0.2"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5.75" customHeight="1" x14ac:dyDescent="0.2"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5.75" customHeight="1" x14ac:dyDescent="0.2"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5.75" customHeight="1" x14ac:dyDescent="0.2"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5.75" customHeight="1" x14ac:dyDescent="0.2"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5.75" customHeight="1" x14ac:dyDescent="0.2"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5.75" customHeight="1" x14ac:dyDescent="0.2"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5.75" customHeight="1" x14ac:dyDescent="0.2"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5.75" customHeight="1" x14ac:dyDescent="0.2"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5.75" customHeight="1" x14ac:dyDescent="0.2"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5.75" customHeight="1" x14ac:dyDescent="0.2"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5.75" customHeight="1" x14ac:dyDescent="0.2"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5.75" customHeight="1" x14ac:dyDescent="0.2"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5.75" customHeight="1" x14ac:dyDescent="0.2"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5.75" customHeight="1" x14ac:dyDescent="0.2"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5.75" customHeight="1" x14ac:dyDescent="0.2"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5.75" customHeight="1" x14ac:dyDescent="0.2"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5.75" customHeight="1" x14ac:dyDescent="0.2"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5.75" customHeight="1" x14ac:dyDescent="0.2"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5.75" customHeight="1" x14ac:dyDescent="0.2"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5.75" customHeight="1" x14ac:dyDescent="0.2"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5.75" customHeight="1" x14ac:dyDescent="0.2"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5.75" customHeight="1" x14ac:dyDescent="0.2"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5.75" customHeight="1" x14ac:dyDescent="0.2"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5.75" customHeight="1" x14ac:dyDescent="0.2"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5.75" customHeight="1" x14ac:dyDescent="0.2"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5.75" customHeight="1" x14ac:dyDescent="0.2"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5.75" customHeight="1" x14ac:dyDescent="0.2"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5.75" customHeight="1" x14ac:dyDescent="0.2"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5.75" customHeight="1" x14ac:dyDescent="0.2"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5.75" customHeight="1" x14ac:dyDescent="0.2"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5.75" customHeight="1" x14ac:dyDescent="0.2"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5.75" customHeight="1" x14ac:dyDescent="0.2"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5.75" customHeight="1" x14ac:dyDescent="0.2"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5.75" customHeight="1" x14ac:dyDescent="0.2"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5.75" customHeight="1" x14ac:dyDescent="0.2"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5.75" customHeight="1" x14ac:dyDescent="0.2"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5.75" customHeight="1" x14ac:dyDescent="0.2"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5.75" customHeight="1" x14ac:dyDescent="0.2"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5.75" customHeight="1" x14ac:dyDescent="0.2"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5.75" customHeight="1" x14ac:dyDescent="0.2"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5.75" customHeight="1" x14ac:dyDescent="0.2"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5.75" customHeight="1" x14ac:dyDescent="0.2"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5.75" customHeight="1" x14ac:dyDescent="0.2"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5.75" customHeight="1" x14ac:dyDescent="0.2"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5.75" customHeight="1" x14ac:dyDescent="0.2"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5.75" customHeight="1" x14ac:dyDescent="0.2"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5.75" customHeight="1" x14ac:dyDescent="0.2"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5.75" customHeight="1" x14ac:dyDescent="0.2"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5.75" customHeight="1" x14ac:dyDescent="0.2"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5.75" customHeight="1" x14ac:dyDescent="0.2"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5.75" customHeight="1" x14ac:dyDescent="0.2"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5.75" customHeight="1" x14ac:dyDescent="0.2"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5.75" customHeight="1" x14ac:dyDescent="0.2"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5.75" customHeight="1" x14ac:dyDescent="0.2"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5.75" customHeight="1" x14ac:dyDescent="0.2"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5.75" customHeight="1" x14ac:dyDescent="0.2"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5.75" customHeight="1" x14ac:dyDescent="0.2"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5.75" customHeight="1" x14ac:dyDescent="0.2"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5.75" customHeight="1" x14ac:dyDescent="0.2"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5.75" customHeight="1" x14ac:dyDescent="0.2"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5.75" customHeight="1" x14ac:dyDescent="0.2"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5.75" customHeight="1" x14ac:dyDescent="0.2"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5.75" customHeight="1" x14ac:dyDescent="0.2"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5.75" customHeight="1" x14ac:dyDescent="0.2"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5.75" customHeight="1" x14ac:dyDescent="0.2"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5.75" customHeight="1" x14ac:dyDescent="0.2"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5.75" customHeight="1" x14ac:dyDescent="0.2"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5.75" customHeight="1" x14ac:dyDescent="0.2"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5.75" customHeight="1" x14ac:dyDescent="0.2"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5.75" customHeight="1" x14ac:dyDescent="0.2"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5.75" customHeight="1" x14ac:dyDescent="0.2"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5.75" customHeight="1" x14ac:dyDescent="0.2"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5.75" customHeight="1" x14ac:dyDescent="0.2"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5.75" customHeight="1" x14ac:dyDescent="0.2"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5.75" customHeight="1" x14ac:dyDescent="0.2"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5.75" customHeight="1" x14ac:dyDescent="0.2"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5.75" customHeight="1" x14ac:dyDescent="0.2"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5.75" customHeight="1" x14ac:dyDescent="0.2"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5.75" customHeight="1" x14ac:dyDescent="0.2"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5.75" customHeight="1" x14ac:dyDescent="0.2"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5.75" customHeight="1" x14ac:dyDescent="0.2"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5.75" customHeight="1" x14ac:dyDescent="0.2"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5.75" customHeight="1" x14ac:dyDescent="0.2"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5.75" customHeight="1" x14ac:dyDescent="0.2"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5.75" customHeight="1" x14ac:dyDescent="0.2"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5.75" customHeight="1" x14ac:dyDescent="0.2"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5.75" customHeight="1" x14ac:dyDescent="0.2"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5.75" customHeight="1" x14ac:dyDescent="0.2"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5.75" customHeight="1" x14ac:dyDescent="0.2"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5.75" customHeight="1" x14ac:dyDescent="0.2"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5.75" customHeight="1" x14ac:dyDescent="0.2"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5.75" customHeight="1" x14ac:dyDescent="0.2"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5.75" customHeight="1" x14ac:dyDescent="0.2"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5.75" customHeight="1" x14ac:dyDescent="0.2"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5.75" customHeight="1" x14ac:dyDescent="0.2"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5.75" customHeight="1" x14ac:dyDescent="0.2"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5.75" customHeight="1" x14ac:dyDescent="0.2"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5.75" customHeight="1" x14ac:dyDescent="0.2"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5.75" customHeight="1" x14ac:dyDescent="0.2"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5.75" customHeight="1" x14ac:dyDescent="0.2"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5.75" customHeight="1" x14ac:dyDescent="0.2"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5.75" customHeight="1" x14ac:dyDescent="0.2"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5.75" customHeight="1" x14ac:dyDescent="0.2"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5.75" customHeight="1" x14ac:dyDescent="0.2"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5.75" customHeight="1" x14ac:dyDescent="0.2"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5.75" customHeight="1" x14ac:dyDescent="0.2"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5.75" customHeight="1" x14ac:dyDescent="0.2"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5.75" customHeight="1" x14ac:dyDescent="0.2"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5.75" customHeight="1" x14ac:dyDescent="0.2"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5.75" customHeight="1" x14ac:dyDescent="0.2"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5.75" customHeight="1" x14ac:dyDescent="0.2"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5.75" customHeight="1" x14ac:dyDescent="0.2"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5.75" customHeight="1" x14ac:dyDescent="0.2"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5.75" customHeight="1" x14ac:dyDescent="0.2"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5.75" customHeight="1" x14ac:dyDescent="0.2"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5.75" customHeight="1" x14ac:dyDescent="0.2"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5.75" customHeight="1" x14ac:dyDescent="0.2"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5.75" customHeight="1" x14ac:dyDescent="0.2"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5.75" customHeight="1" x14ac:dyDescent="0.2"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5.75" customHeight="1" x14ac:dyDescent="0.2"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5.75" customHeight="1" x14ac:dyDescent="0.2"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5.75" customHeight="1" x14ac:dyDescent="0.2"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5.75" customHeight="1" x14ac:dyDescent="0.2"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5.75" customHeight="1" x14ac:dyDescent="0.2"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5.75" customHeight="1" x14ac:dyDescent="0.2"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5.75" customHeight="1" x14ac:dyDescent="0.2"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5.75" customHeight="1" x14ac:dyDescent="0.2"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5.75" customHeight="1" x14ac:dyDescent="0.2"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5.75" customHeight="1" x14ac:dyDescent="0.2"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5.75" customHeight="1" x14ac:dyDescent="0.2"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5.75" customHeight="1" x14ac:dyDescent="0.2"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5.75" customHeight="1" x14ac:dyDescent="0.2"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5.75" customHeight="1" x14ac:dyDescent="0.2"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5.75" customHeight="1" x14ac:dyDescent="0.2"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5.75" customHeight="1" x14ac:dyDescent="0.2"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5.75" customHeight="1" x14ac:dyDescent="0.2"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5.75" customHeight="1" x14ac:dyDescent="0.2"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5.75" customHeight="1" x14ac:dyDescent="0.2"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5.75" customHeight="1" x14ac:dyDescent="0.2"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5.75" customHeight="1" x14ac:dyDescent="0.2"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5.75" customHeight="1" x14ac:dyDescent="0.2"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5.75" customHeight="1" x14ac:dyDescent="0.2"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5.75" customHeight="1" x14ac:dyDescent="0.2"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5.75" customHeight="1" x14ac:dyDescent="0.2"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5.75" customHeight="1" x14ac:dyDescent="0.2"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5.75" customHeight="1" x14ac:dyDescent="0.2"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5.75" customHeight="1" x14ac:dyDescent="0.2"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5.75" customHeight="1" x14ac:dyDescent="0.2"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5.75" customHeight="1" x14ac:dyDescent="0.2"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5.75" customHeight="1" x14ac:dyDescent="0.2"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5.75" customHeight="1" x14ac:dyDescent="0.2"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5.75" customHeight="1" x14ac:dyDescent="0.2"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5.75" customHeight="1" x14ac:dyDescent="0.2"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5.75" customHeight="1" x14ac:dyDescent="0.2"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5.75" customHeight="1" x14ac:dyDescent="0.2"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5.75" customHeight="1" x14ac:dyDescent="0.2"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5.75" customHeight="1" x14ac:dyDescent="0.2"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5.75" customHeight="1" x14ac:dyDescent="0.2"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5.75" customHeight="1" x14ac:dyDescent="0.2"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5.75" customHeight="1" x14ac:dyDescent="0.2"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5.75" customHeight="1" x14ac:dyDescent="0.2"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5.75" customHeight="1" x14ac:dyDescent="0.2"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5.75" customHeight="1" x14ac:dyDescent="0.2"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5.75" customHeight="1" x14ac:dyDescent="0.2"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5.75" customHeight="1" x14ac:dyDescent="0.2"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5.75" customHeight="1" x14ac:dyDescent="0.2"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5.75" customHeight="1" x14ac:dyDescent="0.2"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5.75" customHeight="1" x14ac:dyDescent="0.2"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5.75" customHeight="1" x14ac:dyDescent="0.2"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5.75" customHeight="1" x14ac:dyDescent="0.2"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5.75" customHeight="1" x14ac:dyDescent="0.2"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5.75" customHeight="1" x14ac:dyDescent="0.2"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5.75" customHeight="1" x14ac:dyDescent="0.2"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5.75" customHeight="1" x14ac:dyDescent="0.2"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5.75" customHeight="1" x14ac:dyDescent="0.2"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5.75" customHeight="1" x14ac:dyDescent="0.2"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5.75" customHeight="1" x14ac:dyDescent="0.2"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5.75" customHeight="1" x14ac:dyDescent="0.2"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5.75" customHeight="1" x14ac:dyDescent="0.2"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5.75" customHeight="1" x14ac:dyDescent="0.2"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5.75" customHeight="1" x14ac:dyDescent="0.2"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5.75" customHeight="1" x14ac:dyDescent="0.2"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5.75" customHeight="1" x14ac:dyDescent="0.2"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5.75" customHeight="1" x14ac:dyDescent="0.2"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5.75" customHeight="1" x14ac:dyDescent="0.2"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5.75" customHeight="1" x14ac:dyDescent="0.2"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5.75" customHeight="1" x14ac:dyDescent="0.2"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5.75" customHeight="1" x14ac:dyDescent="0.2"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5.75" customHeight="1" x14ac:dyDescent="0.2"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5.75" customHeight="1" x14ac:dyDescent="0.2"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5.75" customHeight="1" x14ac:dyDescent="0.2"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5.75" customHeight="1" x14ac:dyDescent="0.2"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5.75" customHeight="1" x14ac:dyDescent="0.2"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5.75" customHeight="1" x14ac:dyDescent="0.2"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5.75" customHeight="1" x14ac:dyDescent="0.2"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5.75" customHeight="1" x14ac:dyDescent="0.2"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5.75" customHeight="1" x14ac:dyDescent="0.2"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5.75" customHeight="1" x14ac:dyDescent="0.2"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5.75" customHeight="1" x14ac:dyDescent="0.2"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5.75" customHeight="1" x14ac:dyDescent="0.2"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5.75" customHeight="1" x14ac:dyDescent="0.2"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5.75" customHeight="1" x14ac:dyDescent="0.2"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5.75" customHeight="1" x14ac:dyDescent="0.2"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5.75" customHeight="1" x14ac:dyDescent="0.2"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5.75" customHeight="1" x14ac:dyDescent="0.2"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5.75" customHeight="1" x14ac:dyDescent="0.2"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5.75" customHeight="1" x14ac:dyDescent="0.2"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5.75" customHeight="1" x14ac:dyDescent="0.2"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5.75" customHeight="1" x14ac:dyDescent="0.2"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5.75" customHeight="1" x14ac:dyDescent="0.2"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5.75" customHeight="1" x14ac:dyDescent="0.2"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5.75" customHeight="1" x14ac:dyDescent="0.2"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5.75" customHeight="1" x14ac:dyDescent="0.2"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5.75" customHeight="1" x14ac:dyDescent="0.2"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5.75" customHeight="1" x14ac:dyDescent="0.2"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5.75" customHeight="1" x14ac:dyDescent="0.2"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5.75" customHeight="1" x14ac:dyDescent="0.2"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5.75" customHeight="1" x14ac:dyDescent="0.2"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5.75" customHeight="1" x14ac:dyDescent="0.2"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5.75" customHeight="1" x14ac:dyDescent="0.2"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5.75" customHeight="1" x14ac:dyDescent="0.2"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5.75" customHeight="1" x14ac:dyDescent="0.2"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5.75" customHeight="1" x14ac:dyDescent="0.2"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5.75" customHeight="1" x14ac:dyDescent="0.2"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5.75" customHeight="1" x14ac:dyDescent="0.2"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5.75" customHeight="1" x14ac:dyDescent="0.2"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5.75" customHeight="1" x14ac:dyDescent="0.2"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5.75" customHeight="1" x14ac:dyDescent="0.2"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5.75" customHeight="1" x14ac:dyDescent="0.2"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5.75" customHeight="1" x14ac:dyDescent="0.2"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5.75" customHeight="1" x14ac:dyDescent="0.2"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5.75" customHeight="1" x14ac:dyDescent="0.2"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5.75" customHeight="1" x14ac:dyDescent="0.2"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5.75" customHeight="1" x14ac:dyDescent="0.2"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5.75" customHeight="1" x14ac:dyDescent="0.2"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5.75" customHeight="1" x14ac:dyDescent="0.2"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5.75" customHeight="1" x14ac:dyDescent="0.2"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5.75" customHeight="1" x14ac:dyDescent="0.2"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5.75" customHeight="1" x14ac:dyDescent="0.2"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5.75" customHeight="1" x14ac:dyDescent="0.2"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5.75" customHeight="1" x14ac:dyDescent="0.2"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5.75" customHeight="1" x14ac:dyDescent="0.2"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5.75" customHeight="1" x14ac:dyDescent="0.2"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</sheetData>
  <dataValidations count="2">
    <dataValidation type="list" allowBlank="1" showInputMessage="1" showErrorMessage="1" sqref="B29" xr:uid="{14662B43-3691-4B3C-B543-406DF3A60FC8}">
      <formula1>$J$7:$J$20</formula1>
    </dataValidation>
    <dataValidation type="list" allowBlank="1" showInputMessage="1" showErrorMessage="1" sqref="B34" xr:uid="{F180CB7E-40CD-4348-A07C-454FFC94B3F4}">
      <formula1>$C$6:$G$6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Aharonoff</dc:creator>
  <cp:lastModifiedBy>Eric Pham</cp:lastModifiedBy>
  <dcterms:created xsi:type="dcterms:W3CDTF">2024-03-20T14:10:09Z</dcterms:created>
  <dcterms:modified xsi:type="dcterms:W3CDTF">2026-10-30T02:09:32Z</dcterms:modified>
</cp:coreProperties>
</file>