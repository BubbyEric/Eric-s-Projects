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ragonskilllzxdgoldendragonx/Downloads/Spreadsheet Files/"/>
    </mc:Choice>
  </mc:AlternateContent>
  <xr:revisionPtr revIDLastSave="0" documentId="13_ncr:1_{39D898C2-893E-DC48-9D0D-A088AFE354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dex Match - Vertical" sheetId="1" r:id="rId1"/>
    <sheet name="Index Match - Horizontal" sheetId="2" r:id="rId2"/>
    <sheet name="Index Match - Bi-directio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A8" i="3"/>
  <c r="B3" i="1"/>
  <c r="N26" i="3" l="1"/>
  <c r="B25" i="3"/>
  <c r="B27" i="3" s="1"/>
  <c r="M23" i="3"/>
  <c r="M25" i="3" s="1"/>
  <c r="M27" i="3" s="1"/>
  <c r="L23" i="3"/>
  <c r="L25" i="3" s="1"/>
  <c r="L27" i="3" s="1"/>
  <c r="K23" i="3"/>
  <c r="K25" i="3" s="1"/>
  <c r="K27" i="3" s="1"/>
  <c r="J23" i="3"/>
  <c r="I23" i="3"/>
  <c r="H23" i="3"/>
  <c r="G23" i="3"/>
  <c r="G25" i="3" s="1"/>
  <c r="G27" i="3" s="1"/>
  <c r="F23" i="3"/>
  <c r="F25" i="3" s="1"/>
  <c r="F27" i="3" s="1"/>
  <c r="E23" i="3"/>
  <c r="E25" i="3" s="1"/>
  <c r="E27" i="3" s="1"/>
  <c r="D23" i="3"/>
  <c r="D25" i="3" s="1"/>
  <c r="D27" i="3" s="1"/>
  <c r="C23" i="3"/>
  <c r="N23" i="3" s="1"/>
  <c r="B23" i="3"/>
  <c r="N22" i="3"/>
  <c r="N21" i="3"/>
  <c r="N20" i="3"/>
  <c r="N19" i="3"/>
  <c r="N18" i="3"/>
  <c r="N17" i="3"/>
  <c r="N16" i="3"/>
  <c r="M14" i="3"/>
  <c r="L14" i="3"/>
  <c r="K14" i="3"/>
  <c r="J14" i="3"/>
  <c r="J25" i="3" s="1"/>
  <c r="J27" i="3" s="1"/>
  <c r="I14" i="3"/>
  <c r="I25" i="3" s="1"/>
  <c r="I27" i="3" s="1"/>
  <c r="H14" i="3"/>
  <c r="H25" i="3" s="1"/>
  <c r="H27" i="3" s="1"/>
  <c r="G14" i="3"/>
  <c r="F14" i="3"/>
  <c r="E14" i="3"/>
  <c r="D14" i="3"/>
  <c r="C14" i="3"/>
  <c r="B14" i="3"/>
  <c r="N14" i="3" s="1"/>
  <c r="N25" i="3" s="1"/>
  <c r="N27" i="3" s="1"/>
  <c r="N13" i="3"/>
  <c r="N12" i="3"/>
  <c r="N25" i="2"/>
  <c r="M24" i="2"/>
  <c r="M26" i="2" s="1"/>
  <c r="L24" i="2"/>
  <c r="L26" i="2" s="1"/>
  <c r="K24" i="2"/>
  <c r="K26" i="2" s="1"/>
  <c r="J24" i="2"/>
  <c r="J26" i="2" s="1"/>
  <c r="I24" i="2"/>
  <c r="I26" i="2" s="1"/>
  <c r="M22" i="2"/>
  <c r="L22" i="2"/>
  <c r="K22" i="2"/>
  <c r="J22" i="2"/>
  <c r="I22" i="2"/>
  <c r="H22" i="2"/>
  <c r="G22" i="2"/>
  <c r="F22" i="2"/>
  <c r="E22" i="2"/>
  <c r="E24" i="2" s="1"/>
  <c r="E26" i="2" s="1"/>
  <c r="D22" i="2"/>
  <c r="D24" i="2" s="1"/>
  <c r="D26" i="2" s="1"/>
  <c r="C22" i="2"/>
  <c r="C24" i="2" s="1"/>
  <c r="C26" i="2" s="1"/>
  <c r="B22" i="2"/>
  <c r="B24" i="2" s="1"/>
  <c r="B26" i="2" s="1"/>
  <c r="N21" i="2"/>
  <c r="N20" i="2"/>
  <c r="N19" i="2"/>
  <c r="N18" i="2"/>
  <c r="N17" i="2"/>
  <c r="N16" i="2"/>
  <c r="N15" i="2"/>
  <c r="M13" i="2"/>
  <c r="L13" i="2"/>
  <c r="K13" i="2"/>
  <c r="J13" i="2"/>
  <c r="I13" i="2"/>
  <c r="H13" i="2"/>
  <c r="H24" i="2" s="1"/>
  <c r="H26" i="2" s="1"/>
  <c r="G13" i="2"/>
  <c r="G24" i="2" s="1"/>
  <c r="G26" i="2" s="1"/>
  <c r="F13" i="2"/>
  <c r="F24" i="2" s="1"/>
  <c r="F26" i="2" s="1"/>
  <c r="E13" i="2"/>
  <c r="D13" i="2"/>
  <c r="C13" i="2"/>
  <c r="B13" i="2"/>
  <c r="N12" i="2"/>
  <c r="N11" i="2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M12" i="1"/>
  <c r="L12" i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C25" i="3" l="1"/>
  <c r="C27" i="3" s="1"/>
  <c r="N22" i="2"/>
  <c r="N13" i="2"/>
  <c r="N24" i="2" s="1"/>
  <c r="N26" i="2" s="1"/>
</calcChain>
</file>

<file path=xl/sharedStrings.xml><?xml version="1.0" encoding="utf-8"?>
<sst xmlns="http://schemas.openxmlformats.org/spreadsheetml/2006/main" count="230" uniqueCount="128">
  <si>
    <t>Order Num</t>
  </si>
  <si>
    <t>ProdName</t>
  </si>
  <si>
    <t>OrderNum</t>
  </si>
  <si>
    <t>OrderDate</t>
  </si>
  <si>
    <t>OrderType</t>
  </si>
  <si>
    <t>CustomerType</t>
  </si>
  <si>
    <t>CustName</t>
  </si>
  <si>
    <t>CustState</t>
  </si>
  <si>
    <t>ProdCategory</t>
  </si>
  <si>
    <t>ProdNumber</t>
  </si>
  <si>
    <t>Quantity</t>
  </si>
  <si>
    <t>Price</t>
  </si>
  <si>
    <t>Discount</t>
  </si>
  <si>
    <t>Order Total</t>
  </si>
  <si>
    <t>Wholesale</t>
  </si>
  <si>
    <t>Business</t>
  </si>
  <si>
    <t>Gusikowski Group</t>
  </si>
  <si>
    <t>North Carolina</t>
  </si>
  <si>
    <t>Blueprints</t>
  </si>
  <si>
    <t>BP102</t>
  </si>
  <si>
    <t>Bsquare Robot Blueprint</t>
  </si>
  <si>
    <t>Retail</t>
  </si>
  <si>
    <t>Individual</t>
  </si>
  <si>
    <t>Spencer Educators</t>
  </si>
  <si>
    <t>Delaware</t>
  </si>
  <si>
    <t>Drone Kits</t>
  </si>
  <si>
    <t>DK204</t>
  </si>
  <si>
    <t>BYOD-300</t>
  </si>
  <si>
    <t>Schinner Inc.</t>
  </si>
  <si>
    <t>Florida</t>
  </si>
  <si>
    <t>Training Videos</t>
  </si>
  <si>
    <t>TV801</t>
  </si>
  <si>
    <t>Aerial Security</t>
  </si>
  <si>
    <t>Saxon Laviss</t>
  </si>
  <si>
    <t>Virginia</t>
  </si>
  <si>
    <t>Robot Kits</t>
  </si>
  <si>
    <t>RK602</t>
  </si>
  <si>
    <t>BYOR-1000</t>
  </si>
  <si>
    <t>Wilderman Technologies</t>
  </si>
  <si>
    <t>Texas</t>
  </si>
  <si>
    <t>eBooks</t>
  </si>
  <si>
    <t>EB502</t>
  </si>
  <si>
    <t>Building Your First Robot</t>
  </si>
  <si>
    <t>Turcotte Corp</t>
  </si>
  <si>
    <t>New York</t>
  </si>
  <si>
    <t>Drones</t>
  </si>
  <si>
    <t>DS302</t>
  </si>
  <si>
    <t>DC-304 Drone</t>
  </si>
  <si>
    <t>Kovacek Bernhard</t>
  </si>
  <si>
    <t>TV803</t>
  </si>
  <si>
    <t>Cloud Computing</t>
  </si>
  <si>
    <t>Antonina Noton</t>
  </si>
  <si>
    <t>Missouri</t>
  </si>
  <si>
    <t>DS306</t>
  </si>
  <si>
    <t>DX-145 Drone</t>
  </si>
  <si>
    <t>Frederik Pantecost</t>
  </si>
  <si>
    <t>Louisiana</t>
  </si>
  <si>
    <t>EB507</t>
  </si>
  <si>
    <t>Drone Building Essentials</t>
  </si>
  <si>
    <t>Hettinger and Sons</t>
  </si>
  <si>
    <t>West Virginia</t>
  </si>
  <si>
    <t>BP104</t>
  </si>
  <si>
    <t>Cat Robot Blueprint</t>
  </si>
  <si>
    <t>Phylis Barrabeale</t>
  </si>
  <si>
    <t>TV812</t>
  </si>
  <si>
    <t>Understanding Raspberry PI</t>
  </si>
  <si>
    <t>Marvin Inc.</t>
  </si>
  <si>
    <t>Kansas</t>
  </si>
  <si>
    <t>TV802</t>
  </si>
  <si>
    <t>AI for Educators</t>
  </si>
  <si>
    <t>Jacobi LLC</t>
  </si>
  <si>
    <t>Arizona</t>
  </si>
  <si>
    <t>EB509</t>
  </si>
  <si>
    <t>GPS Drones</t>
  </si>
  <si>
    <t>Elton Sexon</t>
  </si>
  <si>
    <t>Colorado</t>
  </si>
  <si>
    <t>TV811</t>
  </si>
  <si>
    <t>Understanding Drone Regulations</t>
  </si>
  <si>
    <t>Ewan Ladd</t>
  </si>
  <si>
    <t>Ohio</t>
  </si>
  <si>
    <t>TV810</t>
  </si>
  <si>
    <t>Understanding Automation</t>
  </si>
  <si>
    <t>Justine Trengrouse</t>
  </si>
  <si>
    <t>Cristian Iston</t>
  </si>
  <si>
    <t>RK603</t>
  </si>
  <si>
    <t>BYOR-1500</t>
  </si>
  <si>
    <t>Treutel Group</t>
  </si>
  <si>
    <t>DK209</t>
  </si>
  <si>
    <t>BYOD-550</t>
  </si>
  <si>
    <t>Red30 Tech Budget</t>
  </si>
  <si>
    <t>Monthly Forecast 2024</t>
  </si>
  <si>
    <t>(US dollar, in thousands)</t>
  </si>
  <si>
    <t>March</t>
  </si>
  <si>
    <t>Interest Amount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</si>
  <si>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</si>
  <si>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</si>
  <si>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</si>
  <si>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</si>
  <si>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</si>
  <si>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</si>
  <si>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</si>
  <si>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</si>
  <si>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</si>
  <si>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</si>
  <si>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</si>
  <si>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</si>
  <si>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</si>
  <si>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</si>
  <si>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</si>
  <si>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</si>
  <si>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</si>
  <si>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</si>
  <si>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</si>
  <si>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</si>
  <si>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</si>
  <si>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</si>
  <si>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</si>
  <si>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</si>
  <si>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 xml:space="preserve">Total Operating Expenses </t>
  </si>
  <si>
    <t>Operating Income (EBIT)</t>
  </si>
  <si>
    <t>Income Before Taxes</t>
  </si>
  <si>
    <t>Taxes</t>
  </si>
  <si>
    <t xml:space="preserve">Net Income </t>
  </si>
  <si>
    <t>← Month</t>
  </si>
  <si>
    <t xml:space="preserve"> ← Metric</t>
  </si>
  <si>
    <t>← Answer</t>
  </si>
  <si>
    <t>List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</si>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</sst>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4"/>
      <name val="Calibri"/>
      <family val="2"/>
    </font>
    <font>
      <b/>
      <sz val="12"/>
      <color rgb="FF1F3864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44" fontId="2" fillId="0" borderId="0" xfId="0" applyNumberFormat="1" applyFont="1" applyAlignment="1">
      <alignment horizontal="right" vertical="top"/>
    </xf>
    <xf numFmtId="44" fontId="2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44" fontId="2" fillId="0" borderId="1" xfId="0" applyNumberFormat="1" applyFont="1" applyBorder="1" applyAlignment="1">
      <alignment horizontal="right" vertical="top"/>
    </xf>
    <xf numFmtId="44" fontId="2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165" fontId="3" fillId="0" borderId="0" xfId="0" applyNumberFormat="1" applyFont="1"/>
    <xf numFmtId="42" fontId="3" fillId="0" borderId="0" xfId="0" applyNumberFormat="1" applyFont="1"/>
    <xf numFmtId="42" fontId="3" fillId="5" borderId="4" xfId="0" applyNumberFormat="1" applyFont="1" applyFill="1" applyBorder="1"/>
    <xf numFmtId="0" fontId="3" fillId="0" borderId="6" xfId="0" applyFont="1" applyBorder="1" applyAlignment="1">
      <alignment horizontal="left"/>
    </xf>
    <xf numFmtId="165" fontId="3" fillId="0" borderId="7" xfId="0" applyNumberFormat="1" applyFont="1" applyBorder="1"/>
    <xf numFmtId="42" fontId="3" fillId="0" borderId="7" xfId="0" applyNumberFormat="1" applyFont="1" applyBorder="1"/>
    <xf numFmtId="42" fontId="3" fillId="5" borderId="8" xfId="0" applyNumberFormat="1" applyFont="1" applyFill="1" applyBorder="1"/>
    <xf numFmtId="0" fontId="6" fillId="0" borderId="5" xfId="0" applyFont="1" applyBorder="1" applyAlignment="1">
      <alignment horizontal="left"/>
    </xf>
    <xf numFmtId="42" fontId="9" fillId="0" borderId="0" xfId="0" applyNumberFormat="1" applyFont="1"/>
    <xf numFmtId="42" fontId="10" fillId="5" borderId="4" xfId="0" applyNumberFormat="1" applyFont="1" applyFill="1" applyBorder="1"/>
    <xf numFmtId="0" fontId="6" fillId="3" borderId="9" xfId="0" applyFont="1" applyFill="1" applyBorder="1" applyAlignment="1">
      <alignment horizontal="left"/>
    </xf>
    <xf numFmtId="0" fontId="6" fillId="3" borderId="2" xfId="0" applyFont="1" applyFill="1" applyBorder="1"/>
    <xf numFmtId="0" fontId="6" fillId="4" borderId="4" xfId="0" applyFont="1" applyFill="1" applyBorder="1"/>
    <xf numFmtId="0" fontId="6" fillId="0" borderId="10" xfId="0" applyFont="1" applyBorder="1" applyAlignment="1">
      <alignment horizontal="left"/>
    </xf>
    <xf numFmtId="0" fontId="3" fillId="3" borderId="2" xfId="0" applyFont="1" applyFill="1" applyBorder="1"/>
    <xf numFmtId="0" fontId="3" fillId="4" borderId="4" xfId="0" applyFont="1" applyFill="1" applyBorder="1"/>
    <xf numFmtId="42" fontId="9" fillId="0" borderId="7" xfId="0" applyNumberFormat="1" applyFont="1" applyBorder="1"/>
    <xf numFmtId="42" fontId="10" fillId="5" borderId="8" xfId="0" applyNumberFormat="1" applyFont="1" applyFill="1" applyBorder="1"/>
    <xf numFmtId="0" fontId="3" fillId="0" borderId="11" xfId="0" applyFont="1" applyBorder="1" applyAlignment="1">
      <alignment horizontal="left"/>
    </xf>
    <xf numFmtId="42" fontId="3" fillId="0" borderId="10" xfId="0" applyNumberFormat="1" applyFont="1" applyBorder="1"/>
    <xf numFmtId="42" fontId="3" fillId="5" borderId="12" xfId="0" applyNumberFormat="1" applyFont="1" applyFill="1" applyBorder="1"/>
    <xf numFmtId="0" fontId="6" fillId="0" borderId="13" xfId="0" applyFont="1" applyBorder="1" applyAlignment="1">
      <alignment horizontal="left"/>
    </xf>
    <xf numFmtId="42" fontId="9" fillId="0" borderId="13" xfId="0" applyNumberFormat="1" applyFont="1" applyBorder="1"/>
    <xf numFmtId="42" fontId="10" fillId="5" borderId="14" xfId="0" applyNumberFormat="1" applyFont="1" applyFill="1" applyBorder="1"/>
    <xf numFmtId="0" fontId="11" fillId="0" borderId="0" xfId="0" applyFont="1"/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166" fontId="0" fillId="6" borderId="0" xfId="1" applyNumberFormat="1" applyFont="1" applyFill="1" applyAlignment="1"/>
    <xf numFmtId="0" fontId="0" fillId="6" borderId="0" xfId="0" applyFill="1"/>
    <xf numFmtId="0" fontId="1" fillId="0" borderId="0" xfId="0" applyFont="1"/>
  </cellXfs>
  <cellStyles count="2">
    <cellStyle name="Comma" xfId="1" builtinId="3"/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Index Match - Vertical Challeng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Index Match - Vertical Solutio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171450</xdr:rowOff>
    </xdr:from>
    <xdr:ext cx="1809750" cy="638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171450</xdr:rowOff>
    </xdr:from>
    <xdr:ext cx="1809750" cy="638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5:M23">
  <tableColumns count="13">
    <tableColumn id="1" xr3:uid="{00000000-0010-0000-0000-000001000000}" name="OrderNum"/>
    <tableColumn id="2" xr3:uid="{00000000-0010-0000-0000-000002000000}" name="OrderDate"/>
    <tableColumn id="3" xr3:uid="{00000000-0010-0000-0000-000003000000}" name="OrderType"/>
    <tableColumn id="4" xr3:uid="{00000000-0010-0000-0000-000004000000}" name="CustomerType"/>
    <tableColumn id="5" xr3:uid="{00000000-0010-0000-0000-000005000000}" name="CustName"/>
    <tableColumn id="6" xr3:uid="{00000000-0010-0000-0000-000006000000}" name="CustState"/>
    <tableColumn id="7" xr3:uid="{00000000-0010-0000-0000-000007000000}" name="ProdCategory"/>
    <tableColumn id="8" xr3:uid="{00000000-0010-0000-0000-000008000000}" name="ProdNumber"/>
    <tableColumn id="9" xr3:uid="{00000000-0010-0000-0000-000009000000}" name="ProdName"/>
    <tableColumn id="10" xr3:uid="{00000000-0010-0000-0000-00000A000000}" name="Quantity"/>
    <tableColumn id="11" xr3:uid="{00000000-0010-0000-0000-00000B000000}" name="Price"/>
    <tableColumn id="12" xr3:uid="{00000000-0010-0000-0000-00000C000000}" name="Discount"/>
    <tableColumn id="13" xr3:uid="{00000000-0010-0000-0000-00000D000000}" name="Order Total"/>
  </tableColumns>
  <tableStyleInfo name="Index Match - Vertical Challe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workbookViewId="0">
      <selection activeCell="B3" sqref="B3"/>
    </sheetView>
  </sheetViews>
  <sheetFormatPr baseColWidth="10" defaultColWidth="11.1640625" defaultRowHeight="15" customHeight="1" x14ac:dyDescent="0.2"/>
  <cols>
    <col min="1" max="1" width="13.5" customWidth="1"/>
    <col min="2" max="3" width="15.83203125" customWidth="1"/>
    <col min="4" max="4" width="17.6640625" customWidth="1"/>
    <col min="5" max="5" width="24.1640625" customWidth="1"/>
    <col min="6" max="7" width="19.1640625" customWidth="1"/>
    <col min="8" max="8" width="15.83203125" customWidth="1"/>
    <col min="9" max="9" width="35.6640625" customWidth="1"/>
    <col min="10" max="10" width="13.1640625" customWidth="1"/>
    <col min="11" max="11" width="13.5" customWidth="1"/>
    <col min="12" max="12" width="13.33203125" customWidth="1"/>
    <col min="13" max="13" width="15" customWidth="1"/>
  </cols>
  <sheetData>
    <row r="1" spans="1:13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4"/>
    </row>
    <row r="2" spans="1:13" ht="15.75" customHeight="1" x14ac:dyDescent="0.2">
      <c r="A2" s="50" t="s">
        <v>0</v>
      </c>
      <c r="B2" s="51">
        <v>1100934</v>
      </c>
      <c r="C2" s="1"/>
      <c r="D2" s="1"/>
      <c r="E2" s="1"/>
      <c r="F2" s="1"/>
      <c r="G2" s="1"/>
      <c r="H2" s="1"/>
      <c r="I2" s="1"/>
      <c r="J2" s="1"/>
      <c r="K2" s="2"/>
      <c r="L2" s="3"/>
      <c r="M2" s="4"/>
    </row>
    <row r="3" spans="1:13" ht="15.75" customHeight="1" x14ac:dyDescent="0.2">
      <c r="A3" s="50" t="s">
        <v>1</v>
      </c>
      <c r="B3" s="52" t="str">
        <f>INDEX(Orders[],MATCH(B2,Orders[OrderNum],0),9)</f>
        <v>Bsquare Robot Blueprint</v>
      </c>
      <c r="C3" s="1"/>
      <c r="D3" s="1"/>
      <c r="E3" s="1"/>
      <c r="F3" s="1"/>
      <c r="G3" s="1"/>
      <c r="H3" s="1"/>
      <c r="I3" s="1"/>
      <c r="J3" s="1"/>
      <c r="K3" s="2"/>
      <c r="L3" s="3"/>
      <c r="M3" s="4"/>
    </row>
    <row r="4" spans="1:13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3"/>
      <c r="M4" s="4"/>
    </row>
    <row r="5" spans="1:13" ht="15.75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</v>
      </c>
      <c r="J5" s="5" t="s">
        <v>10</v>
      </c>
      <c r="K5" s="6" t="s">
        <v>11</v>
      </c>
      <c r="L5" s="7" t="s">
        <v>12</v>
      </c>
      <c r="M5" s="8" t="s">
        <v>13</v>
      </c>
    </row>
    <row r="6" spans="1:13" ht="15.75" customHeight="1" x14ac:dyDescent="0.2">
      <c r="A6" s="9">
        <v>1100934</v>
      </c>
      <c r="B6" s="10">
        <v>42979</v>
      </c>
      <c r="C6" s="11" t="s">
        <v>14</v>
      </c>
      <c r="D6" s="11" t="s">
        <v>15</v>
      </c>
      <c r="E6" s="11" t="s">
        <v>16</v>
      </c>
      <c r="F6" s="11" t="s">
        <v>17</v>
      </c>
      <c r="G6" s="12" t="s">
        <v>18</v>
      </c>
      <c r="H6" s="12" t="s">
        <v>19</v>
      </c>
      <c r="I6" s="12" t="s">
        <v>20</v>
      </c>
      <c r="J6" s="12">
        <v>10</v>
      </c>
      <c r="K6" s="13">
        <v>8.99</v>
      </c>
      <c r="L6" s="14">
        <f t="shared" ref="L6:L23" si="0">IF(C6="Wholesale",K6*0.2,"0")</f>
        <v>1.798</v>
      </c>
      <c r="M6" s="15">
        <f t="shared" ref="M6:M23" si="1">J6*K6-L6</f>
        <v>88.102000000000004</v>
      </c>
    </row>
    <row r="7" spans="1:13" ht="15.75" customHeight="1" x14ac:dyDescent="0.2">
      <c r="A7" s="9">
        <v>1100935</v>
      </c>
      <c r="B7" s="10">
        <v>42979</v>
      </c>
      <c r="C7" s="11" t="s">
        <v>21</v>
      </c>
      <c r="D7" s="11" t="s">
        <v>22</v>
      </c>
      <c r="E7" s="11" t="s">
        <v>23</v>
      </c>
      <c r="F7" s="11" t="s">
        <v>24</v>
      </c>
      <c r="G7" s="12" t="s">
        <v>25</v>
      </c>
      <c r="H7" s="12" t="s">
        <v>26</v>
      </c>
      <c r="I7" s="12" t="s">
        <v>27</v>
      </c>
      <c r="J7" s="12">
        <v>2</v>
      </c>
      <c r="K7" s="13">
        <v>89</v>
      </c>
      <c r="L7" s="14" t="str">
        <f t="shared" si="0"/>
        <v>0</v>
      </c>
      <c r="M7" s="15">
        <f t="shared" si="1"/>
        <v>178</v>
      </c>
    </row>
    <row r="8" spans="1:13" ht="15.75" customHeight="1" x14ac:dyDescent="0.2">
      <c r="A8" s="9">
        <v>1100936</v>
      </c>
      <c r="B8" s="10">
        <v>42979</v>
      </c>
      <c r="C8" s="11" t="s">
        <v>14</v>
      </c>
      <c r="D8" s="11" t="s">
        <v>15</v>
      </c>
      <c r="E8" s="11" t="s">
        <v>28</v>
      </c>
      <c r="F8" s="11" t="s">
        <v>29</v>
      </c>
      <c r="G8" s="12" t="s">
        <v>30</v>
      </c>
      <c r="H8" s="12" t="s">
        <v>31</v>
      </c>
      <c r="I8" s="12" t="s">
        <v>32</v>
      </c>
      <c r="J8" s="12">
        <v>10</v>
      </c>
      <c r="K8" s="13">
        <v>36.99</v>
      </c>
      <c r="L8" s="14">
        <f t="shared" si="0"/>
        <v>7.3980000000000006</v>
      </c>
      <c r="M8" s="15">
        <f t="shared" si="1"/>
        <v>362.50200000000001</v>
      </c>
    </row>
    <row r="9" spans="1:13" ht="15.75" customHeight="1" x14ac:dyDescent="0.2">
      <c r="A9" s="9">
        <v>1100937</v>
      </c>
      <c r="B9" s="10">
        <v>42979</v>
      </c>
      <c r="C9" s="11" t="s">
        <v>21</v>
      </c>
      <c r="D9" s="11" t="s">
        <v>22</v>
      </c>
      <c r="E9" s="11" t="s">
        <v>33</v>
      </c>
      <c r="F9" s="11" t="s">
        <v>34</v>
      </c>
      <c r="G9" s="12" t="s">
        <v>35</v>
      </c>
      <c r="H9" s="12" t="s">
        <v>36</v>
      </c>
      <c r="I9" s="12" t="s">
        <v>37</v>
      </c>
      <c r="J9" s="12">
        <v>1</v>
      </c>
      <c r="K9" s="13">
        <v>189</v>
      </c>
      <c r="L9" s="14" t="str">
        <f t="shared" si="0"/>
        <v>0</v>
      </c>
      <c r="M9" s="15">
        <f t="shared" si="1"/>
        <v>189</v>
      </c>
    </row>
    <row r="10" spans="1:13" ht="15.75" customHeight="1" x14ac:dyDescent="0.2">
      <c r="A10" s="9">
        <v>1100938</v>
      </c>
      <c r="B10" s="10">
        <v>42979</v>
      </c>
      <c r="C10" s="11" t="s">
        <v>21</v>
      </c>
      <c r="D10" s="11" t="s">
        <v>15</v>
      </c>
      <c r="E10" s="11" t="s">
        <v>38</v>
      </c>
      <c r="F10" s="11" t="s">
        <v>39</v>
      </c>
      <c r="G10" s="12" t="s">
        <v>40</v>
      </c>
      <c r="H10" s="12" t="s">
        <v>41</v>
      </c>
      <c r="I10" s="12" t="s">
        <v>42</v>
      </c>
      <c r="J10" s="12">
        <v>4</v>
      </c>
      <c r="K10" s="13">
        <v>24.95</v>
      </c>
      <c r="L10" s="14" t="str">
        <f t="shared" si="0"/>
        <v>0</v>
      </c>
      <c r="M10" s="15">
        <f t="shared" si="1"/>
        <v>99.8</v>
      </c>
    </row>
    <row r="11" spans="1:13" ht="15.75" customHeight="1" x14ac:dyDescent="0.2">
      <c r="A11" s="9">
        <v>1100939</v>
      </c>
      <c r="B11" s="10">
        <v>42980</v>
      </c>
      <c r="C11" s="11" t="s">
        <v>14</v>
      </c>
      <c r="D11" s="11" t="s">
        <v>15</v>
      </c>
      <c r="E11" s="11" t="s">
        <v>43</v>
      </c>
      <c r="F11" s="11" t="s">
        <v>44</v>
      </c>
      <c r="G11" s="12" t="s">
        <v>45</v>
      </c>
      <c r="H11" s="12" t="s">
        <v>46</v>
      </c>
      <c r="I11" s="12" t="s">
        <v>47</v>
      </c>
      <c r="J11" s="12">
        <v>79</v>
      </c>
      <c r="K11" s="13">
        <v>395</v>
      </c>
      <c r="L11" s="14">
        <f t="shared" si="0"/>
        <v>79</v>
      </c>
      <c r="M11" s="15">
        <f t="shared" si="1"/>
        <v>31126</v>
      </c>
    </row>
    <row r="12" spans="1:13" ht="15.75" customHeight="1" x14ac:dyDescent="0.2">
      <c r="A12" s="9">
        <v>1100940</v>
      </c>
      <c r="B12" s="10">
        <v>42980</v>
      </c>
      <c r="C12" s="11" t="s">
        <v>21</v>
      </c>
      <c r="D12" s="11" t="s">
        <v>22</v>
      </c>
      <c r="E12" s="11" t="s">
        <v>48</v>
      </c>
      <c r="F12" s="11" t="s">
        <v>39</v>
      </c>
      <c r="G12" s="12" t="s">
        <v>30</v>
      </c>
      <c r="H12" s="12" t="s">
        <v>49</v>
      </c>
      <c r="I12" s="12" t="s">
        <v>50</v>
      </c>
      <c r="J12" s="12">
        <v>1</v>
      </c>
      <c r="K12" s="13">
        <v>29.99</v>
      </c>
      <c r="L12" s="14" t="str">
        <f t="shared" si="0"/>
        <v>0</v>
      </c>
      <c r="M12" s="15">
        <f t="shared" si="1"/>
        <v>29.99</v>
      </c>
    </row>
    <row r="13" spans="1:13" ht="15.75" customHeight="1" x14ac:dyDescent="0.2">
      <c r="A13" s="9">
        <v>1100941</v>
      </c>
      <c r="B13" s="10">
        <v>42980</v>
      </c>
      <c r="C13" s="11" t="s">
        <v>21</v>
      </c>
      <c r="D13" s="11" t="s">
        <v>22</v>
      </c>
      <c r="E13" s="11" t="s">
        <v>51</v>
      </c>
      <c r="F13" s="11" t="s">
        <v>52</v>
      </c>
      <c r="G13" s="12" t="s">
        <v>45</v>
      </c>
      <c r="H13" s="12" t="s">
        <v>53</v>
      </c>
      <c r="I13" s="12" t="s">
        <v>54</v>
      </c>
      <c r="J13" s="12">
        <v>2</v>
      </c>
      <c r="K13" s="13">
        <v>250</v>
      </c>
      <c r="L13" s="14" t="str">
        <f t="shared" si="0"/>
        <v>0</v>
      </c>
      <c r="M13" s="15">
        <f t="shared" si="1"/>
        <v>500</v>
      </c>
    </row>
    <row r="14" spans="1:13" ht="15.75" customHeight="1" x14ac:dyDescent="0.2">
      <c r="A14" s="9">
        <v>1100942</v>
      </c>
      <c r="B14" s="10">
        <v>42980</v>
      </c>
      <c r="C14" s="11" t="s">
        <v>21</v>
      </c>
      <c r="D14" s="11" t="s">
        <v>22</v>
      </c>
      <c r="E14" s="11" t="s">
        <v>55</v>
      </c>
      <c r="F14" s="11" t="s">
        <v>56</v>
      </c>
      <c r="G14" s="12" t="s">
        <v>40</v>
      </c>
      <c r="H14" s="12" t="s">
        <v>57</v>
      </c>
      <c r="I14" s="12" t="s">
        <v>58</v>
      </c>
      <c r="J14" s="12">
        <v>1</v>
      </c>
      <c r="K14" s="13">
        <v>13.99</v>
      </c>
      <c r="L14" s="14" t="str">
        <f t="shared" si="0"/>
        <v>0</v>
      </c>
      <c r="M14" s="15">
        <f t="shared" si="1"/>
        <v>13.99</v>
      </c>
    </row>
    <row r="15" spans="1:13" ht="15.75" customHeight="1" x14ac:dyDescent="0.2">
      <c r="A15" s="9">
        <v>1100943</v>
      </c>
      <c r="B15" s="10">
        <v>42981</v>
      </c>
      <c r="C15" s="11" t="s">
        <v>14</v>
      </c>
      <c r="D15" s="11" t="s">
        <v>15</v>
      </c>
      <c r="E15" s="11" t="s">
        <v>59</v>
      </c>
      <c r="F15" s="11" t="s">
        <v>60</v>
      </c>
      <c r="G15" s="12" t="s">
        <v>18</v>
      </c>
      <c r="H15" s="12" t="s">
        <v>61</v>
      </c>
      <c r="I15" s="12" t="s">
        <v>62</v>
      </c>
      <c r="J15" s="12">
        <v>6</v>
      </c>
      <c r="K15" s="13">
        <v>4.99</v>
      </c>
      <c r="L15" s="14">
        <f t="shared" si="0"/>
        <v>0.99800000000000011</v>
      </c>
      <c r="M15" s="15">
        <f t="shared" si="1"/>
        <v>28.942</v>
      </c>
    </row>
    <row r="16" spans="1:13" ht="15.75" customHeight="1" x14ac:dyDescent="0.2">
      <c r="A16" s="9">
        <v>1100944</v>
      </c>
      <c r="B16" s="10">
        <v>42981</v>
      </c>
      <c r="C16" s="11" t="s">
        <v>21</v>
      </c>
      <c r="D16" s="11" t="s">
        <v>22</v>
      </c>
      <c r="E16" s="11" t="s">
        <v>63</v>
      </c>
      <c r="F16" s="11" t="s">
        <v>39</v>
      </c>
      <c r="G16" s="12" t="s">
        <v>30</v>
      </c>
      <c r="H16" s="12" t="s">
        <v>64</v>
      </c>
      <c r="I16" s="12" t="s">
        <v>65</v>
      </c>
      <c r="J16" s="12">
        <v>1</v>
      </c>
      <c r="K16" s="13">
        <v>28.99</v>
      </c>
      <c r="L16" s="14" t="str">
        <f t="shared" si="0"/>
        <v>0</v>
      </c>
      <c r="M16" s="15">
        <f t="shared" si="1"/>
        <v>28.99</v>
      </c>
    </row>
    <row r="17" spans="1:13" ht="15.75" customHeight="1" x14ac:dyDescent="0.2">
      <c r="A17" s="9">
        <v>1100945</v>
      </c>
      <c r="B17" s="10">
        <v>42981</v>
      </c>
      <c r="C17" s="11" t="s">
        <v>14</v>
      </c>
      <c r="D17" s="11" t="s">
        <v>15</v>
      </c>
      <c r="E17" s="11" t="s">
        <v>66</v>
      </c>
      <c r="F17" s="11" t="s">
        <v>67</v>
      </c>
      <c r="G17" s="12" t="s">
        <v>30</v>
      </c>
      <c r="H17" s="12" t="s">
        <v>68</v>
      </c>
      <c r="I17" s="12" t="s">
        <v>69</v>
      </c>
      <c r="J17" s="12">
        <v>5</v>
      </c>
      <c r="K17" s="13">
        <v>49.95</v>
      </c>
      <c r="L17" s="14">
        <f t="shared" si="0"/>
        <v>9.990000000000002</v>
      </c>
      <c r="M17" s="15">
        <f t="shared" si="1"/>
        <v>239.76</v>
      </c>
    </row>
    <row r="18" spans="1:13" ht="15.75" customHeight="1" x14ac:dyDescent="0.2">
      <c r="A18" s="9">
        <v>1100946</v>
      </c>
      <c r="B18" s="10">
        <v>42981</v>
      </c>
      <c r="C18" s="11" t="s">
        <v>14</v>
      </c>
      <c r="D18" s="11" t="s">
        <v>15</v>
      </c>
      <c r="E18" s="11" t="s">
        <v>70</v>
      </c>
      <c r="F18" s="11" t="s">
        <v>71</v>
      </c>
      <c r="G18" s="12" t="s">
        <v>40</v>
      </c>
      <c r="H18" s="12" t="s">
        <v>72</v>
      </c>
      <c r="I18" s="12" t="s">
        <v>73</v>
      </c>
      <c r="J18" s="12">
        <v>7</v>
      </c>
      <c r="K18" s="13">
        <v>19.989999999999998</v>
      </c>
      <c r="L18" s="14">
        <f t="shared" si="0"/>
        <v>3.9979999999999998</v>
      </c>
      <c r="M18" s="15">
        <f t="shared" si="1"/>
        <v>135.93199999999999</v>
      </c>
    </row>
    <row r="19" spans="1:13" ht="15.75" customHeight="1" x14ac:dyDescent="0.2">
      <c r="A19" s="9">
        <v>1100947</v>
      </c>
      <c r="B19" s="10">
        <v>42981</v>
      </c>
      <c r="C19" s="11" t="s">
        <v>21</v>
      </c>
      <c r="D19" s="11" t="s">
        <v>22</v>
      </c>
      <c r="E19" s="11" t="s">
        <v>74</v>
      </c>
      <c r="F19" s="11" t="s">
        <v>75</v>
      </c>
      <c r="G19" s="12" t="s">
        <v>30</v>
      </c>
      <c r="H19" s="12" t="s">
        <v>76</v>
      </c>
      <c r="I19" s="12" t="s">
        <v>77</v>
      </c>
      <c r="J19" s="12">
        <v>1</v>
      </c>
      <c r="K19" s="13">
        <v>27.5</v>
      </c>
      <c r="L19" s="14" t="str">
        <f t="shared" si="0"/>
        <v>0</v>
      </c>
      <c r="M19" s="15">
        <f t="shared" si="1"/>
        <v>27.5</v>
      </c>
    </row>
    <row r="20" spans="1:13" ht="15.75" customHeight="1" x14ac:dyDescent="0.2">
      <c r="A20" s="9">
        <v>1100948</v>
      </c>
      <c r="B20" s="10">
        <v>42981</v>
      </c>
      <c r="C20" s="11" t="s">
        <v>21</v>
      </c>
      <c r="D20" s="11" t="s">
        <v>22</v>
      </c>
      <c r="E20" s="11" t="s">
        <v>78</v>
      </c>
      <c r="F20" s="11" t="s">
        <v>79</v>
      </c>
      <c r="G20" s="12" t="s">
        <v>30</v>
      </c>
      <c r="H20" s="12" t="s">
        <v>80</v>
      </c>
      <c r="I20" s="12" t="s">
        <v>81</v>
      </c>
      <c r="J20" s="12">
        <v>1</v>
      </c>
      <c r="K20" s="13">
        <v>44.95</v>
      </c>
      <c r="L20" s="14" t="str">
        <f t="shared" si="0"/>
        <v>0</v>
      </c>
      <c r="M20" s="15">
        <f t="shared" si="1"/>
        <v>44.95</v>
      </c>
    </row>
    <row r="21" spans="1:13" ht="15.75" customHeight="1" x14ac:dyDescent="0.2">
      <c r="A21" s="9">
        <v>1100949</v>
      </c>
      <c r="B21" s="10">
        <v>42981</v>
      </c>
      <c r="C21" s="11" t="s">
        <v>21</v>
      </c>
      <c r="D21" s="11" t="s">
        <v>22</v>
      </c>
      <c r="E21" s="11" t="s">
        <v>82</v>
      </c>
      <c r="F21" s="11" t="s">
        <v>29</v>
      </c>
      <c r="G21" s="12" t="s">
        <v>40</v>
      </c>
      <c r="H21" s="12" t="s">
        <v>57</v>
      </c>
      <c r="I21" s="12" t="s">
        <v>58</v>
      </c>
      <c r="J21" s="12">
        <v>1</v>
      </c>
      <c r="K21" s="13">
        <v>13.99</v>
      </c>
      <c r="L21" s="14" t="str">
        <f t="shared" si="0"/>
        <v>0</v>
      </c>
      <c r="M21" s="15">
        <f t="shared" si="1"/>
        <v>13.99</v>
      </c>
    </row>
    <row r="22" spans="1:13" ht="15.75" customHeight="1" x14ac:dyDescent="0.2">
      <c r="A22" s="9">
        <v>1100950</v>
      </c>
      <c r="B22" s="10">
        <v>42981</v>
      </c>
      <c r="C22" s="11" t="s">
        <v>21</v>
      </c>
      <c r="D22" s="11" t="s">
        <v>22</v>
      </c>
      <c r="E22" s="11" t="s">
        <v>83</v>
      </c>
      <c r="F22" s="11" t="s">
        <v>44</v>
      </c>
      <c r="G22" s="12" t="s">
        <v>35</v>
      </c>
      <c r="H22" s="12" t="s">
        <v>84</v>
      </c>
      <c r="I22" s="12" t="s">
        <v>85</v>
      </c>
      <c r="J22" s="12">
        <v>1</v>
      </c>
      <c r="K22" s="13">
        <v>189</v>
      </c>
      <c r="L22" s="14" t="str">
        <f t="shared" si="0"/>
        <v>0</v>
      </c>
      <c r="M22" s="15">
        <f t="shared" si="1"/>
        <v>189</v>
      </c>
    </row>
    <row r="23" spans="1:13" ht="15.75" customHeight="1" x14ac:dyDescent="0.2">
      <c r="A23" s="9">
        <v>1100951</v>
      </c>
      <c r="B23" s="10">
        <v>42981</v>
      </c>
      <c r="C23" s="11" t="s">
        <v>14</v>
      </c>
      <c r="D23" s="11" t="s">
        <v>15</v>
      </c>
      <c r="E23" s="11" t="s">
        <v>86</v>
      </c>
      <c r="F23" s="11" t="s">
        <v>44</v>
      </c>
      <c r="G23" s="12" t="s">
        <v>25</v>
      </c>
      <c r="H23" s="12" t="s">
        <v>87</v>
      </c>
      <c r="I23" s="12" t="s">
        <v>88</v>
      </c>
      <c r="J23" s="12">
        <v>27</v>
      </c>
      <c r="K23" s="13">
        <v>179</v>
      </c>
      <c r="L23" s="14">
        <f t="shared" si="0"/>
        <v>35.800000000000004</v>
      </c>
      <c r="M23" s="15">
        <f t="shared" si="1"/>
        <v>4797.2</v>
      </c>
    </row>
  </sheetData>
  <dataValidations count="1">
    <dataValidation type="list" allowBlank="1" showErrorMessage="1" sqref="B2" xr:uid="{00000000-0002-0000-0000-000000000000}">
      <formula1>$A$6:$A$23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3"/>
  <sheetViews>
    <sheetView showGridLines="0" workbookViewId="0">
      <selection activeCell="C17" sqref="C17"/>
    </sheetView>
  </sheetViews>
  <sheetFormatPr baseColWidth="10" defaultColWidth="11.1640625" defaultRowHeight="15" customHeight="1" x14ac:dyDescent="0.2"/>
  <cols>
    <col min="1" max="1" width="33" customWidth="1"/>
    <col min="2" max="12" width="11.6640625" customWidth="1"/>
    <col min="13" max="14" width="11.83203125" customWidth="1"/>
    <col min="15" max="26" width="10.5" customWidth="1"/>
  </cols>
  <sheetData>
    <row r="1" spans="1:14" ht="15.75" customHeight="1" x14ac:dyDescent="0.3">
      <c r="A1" s="16"/>
      <c r="B1" s="17"/>
      <c r="C1" s="11"/>
      <c r="D1" s="11"/>
      <c r="E1" s="11"/>
      <c r="F1" s="11"/>
    </row>
    <row r="2" spans="1:14" ht="15.75" customHeight="1" x14ac:dyDescent="0.2">
      <c r="A2" s="16"/>
      <c r="B2" s="18" t="s">
        <v>89</v>
      </c>
      <c r="C2" s="18"/>
      <c r="D2" s="11"/>
      <c r="E2" s="11"/>
      <c r="F2" s="11"/>
    </row>
    <row r="3" spans="1:14" ht="15.75" customHeight="1" x14ac:dyDescent="0.2">
      <c r="A3" s="16"/>
      <c r="B3" s="18" t="s">
        <v>90</v>
      </c>
      <c r="C3" s="18"/>
      <c r="D3" s="11"/>
      <c r="E3" s="11"/>
      <c r="F3" s="11"/>
    </row>
    <row r="4" spans="1:14" ht="15.75" customHeight="1" x14ac:dyDescent="0.2">
      <c r="A4" s="16"/>
      <c r="B4" s="11" t="s">
        <v>91</v>
      </c>
      <c r="C4" s="18"/>
      <c r="D4" s="11"/>
      <c r="E4" s="11"/>
      <c r="F4" s="11"/>
    </row>
    <row r="5" spans="1:14" ht="15.75" customHeight="1" x14ac:dyDescent="0.3">
      <c r="A5" s="17"/>
      <c r="B5" s="11"/>
      <c r="C5" s="17"/>
      <c r="D5" s="17"/>
      <c r="E5" s="17"/>
      <c r="F5" s="17"/>
    </row>
    <row r="6" spans="1:14" ht="15.75" customHeight="1" x14ac:dyDescent="0.2">
      <c r="A6" s="55" t="s">
        <v>127</v>
      </c>
      <c r="B6" s="55" t="s">
        <v>94</v>
      </c>
    </row>
    <row r="7" spans="1:14" ht="15.75" customHeight="1" x14ac:dyDescent="0.2">
      <c r="A7" s="55" t="s">
        <v>93</v>
      </c>
      <c r="B7" s="54">
        <f>INDEX(A11:M26,9,MATCH(B6,A9:M9,0))</f>
        <v>341</v>
      </c>
    </row>
    <row r="8" spans="1:14" ht="15.75" customHeight="1" x14ac:dyDescent="0.2"/>
    <row r="9" spans="1:14" ht="15.75" customHeight="1" x14ac:dyDescent="0.2">
      <c r="A9" s="20"/>
      <c r="B9" s="20" t="s">
        <v>94</v>
      </c>
      <c r="C9" s="20" t="s">
        <v>95</v>
      </c>
      <c r="D9" s="20" t="s">
        <v>92</v>
      </c>
      <c r="E9" s="20" t="s">
        <v>96</v>
      </c>
      <c r="F9" s="20" t="s">
        <v>97</v>
      </c>
      <c r="G9" s="20" t="s">
        <v>98</v>
      </c>
      <c r="H9" s="20" t="s">
        <v>99</v>
      </c>
      <c r="I9" s="20" t="s">
        <v>100</v>
      </c>
      <c r="J9" s="20" t="s">
        <v>101</v>
      </c>
      <c r="K9" s="20" t="s">
        <v>102</v>
      </c>
      <c r="L9" s="20" t="s">
        <v>103</v>
      </c>
      <c r="M9" s="20" t="s">
        <v>104</v>
      </c>
      <c r="N9" s="21" t="s">
        <v>105</v>
      </c>
    </row>
    <row r="10" spans="1:14" ht="15.75" customHeight="1" x14ac:dyDescent="0.2">
      <c r="A10" s="22" t="s">
        <v>106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</row>
    <row r="11" spans="1:14" ht="15.75" customHeight="1" x14ac:dyDescent="0.2">
      <c r="A11" s="24" t="s">
        <v>107</v>
      </c>
      <c r="B11" s="25">
        <v>84672</v>
      </c>
      <c r="C11" s="26">
        <v>84977</v>
      </c>
      <c r="D11" s="26">
        <v>85284</v>
      </c>
      <c r="E11" s="26">
        <v>85592</v>
      </c>
      <c r="F11" s="26">
        <v>85901</v>
      </c>
      <c r="G11" s="26">
        <v>86211</v>
      </c>
      <c r="H11" s="26">
        <v>86522</v>
      </c>
      <c r="I11" s="26">
        <v>86834</v>
      </c>
      <c r="J11" s="26">
        <v>87148</v>
      </c>
      <c r="K11" s="26">
        <v>87463</v>
      </c>
      <c r="L11" s="26">
        <v>87778</v>
      </c>
      <c r="M11" s="26">
        <v>88095</v>
      </c>
      <c r="N11" s="27">
        <f t="shared" ref="N11:N13" si="0">SUM(B11:M11)</f>
        <v>1036477</v>
      </c>
    </row>
    <row r="12" spans="1:14" ht="15.75" customHeight="1" x14ac:dyDescent="0.2">
      <c r="A12" s="28" t="s">
        <v>108</v>
      </c>
      <c r="B12" s="29">
        <v>31455</v>
      </c>
      <c r="C12" s="30">
        <v>31568</v>
      </c>
      <c r="D12" s="30">
        <v>31682</v>
      </c>
      <c r="E12" s="30">
        <v>31696</v>
      </c>
      <c r="F12" s="30">
        <v>31711</v>
      </c>
      <c r="G12" s="30">
        <v>31806</v>
      </c>
      <c r="H12" s="30">
        <v>31814</v>
      </c>
      <c r="I12" s="30">
        <v>31838</v>
      </c>
      <c r="J12" s="30">
        <v>31874</v>
      </c>
      <c r="K12" s="30">
        <v>31491</v>
      </c>
      <c r="L12" s="30">
        <v>31609</v>
      </c>
      <c r="M12" s="30">
        <v>32726</v>
      </c>
      <c r="N12" s="31">
        <f t="shared" si="0"/>
        <v>381270</v>
      </c>
    </row>
    <row r="13" spans="1:14" ht="15.75" customHeight="1" x14ac:dyDescent="0.2">
      <c r="A13" s="32" t="s">
        <v>109</v>
      </c>
      <c r="B13" s="33">
        <f t="shared" ref="B13:M13" si="1">B11-B12</f>
        <v>53217</v>
      </c>
      <c r="C13" s="33">
        <f t="shared" si="1"/>
        <v>53409</v>
      </c>
      <c r="D13" s="33">
        <f t="shared" si="1"/>
        <v>53602</v>
      </c>
      <c r="E13" s="33">
        <f t="shared" si="1"/>
        <v>53896</v>
      </c>
      <c r="F13" s="33">
        <f t="shared" si="1"/>
        <v>54190</v>
      </c>
      <c r="G13" s="33">
        <f t="shared" si="1"/>
        <v>54405</v>
      </c>
      <c r="H13" s="33">
        <f t="shared" si="1"/>
        <v>54708</v>
      </c>
      <c r="I13" s="33">
        <f t="shared" si="1"/>
        <v>54996</v>
      </c>
      <c r="J13" s="33">
        <f t="shared" si="1"/>
        <v>55274</v>
      </c>
      <c r="K13" s="33">
        <f t="shared" si="1"/>
        <v>55972</v>
      </c>
      <c r="L13" s="33">
        <f t="shared" si="1"/>
        <v>56169</v>
      </c>
      <c r="M13" s="33">
        <f t="shared" si="1"/>
        <v>55369</v>
      </c>
      <c r="N13" s="34">
        <f t="shared" si="0"/>
        <v>655207</v>
      </c>
    </row>
    <row r="14" spans="1:14" ht="15.75" customHeight="1" x14ac:dyDescent="0.2">
      <c r="A14" s="35" t="s">
        <v>110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</row>
    <row r="15" spans="1:14" ht="15.75" customHeight="1" x14ac:dyDescent="0.2">
      <c r="A15" s="24" t="s">
        <v>111</v>
      </c>
      <c r="B15" s="26">
        <v>6050</v>
      </c>
      <c r="C15" s="26">
        <v>6072</v>
      </c>
      <c r="D15" s="26">
        <v>6095</v>
      </c>
      <c r="E15" s="26">
        <v>6117</v>
      </c>
      <c r="F15" s="26">
        <v>6140</v>
      </c>
      <c r="G15" s="26">
        <v>6163</v>
      </c>
      <c r="H15" s="26">
        <v>6186</v>
      </c>
      <c r="I15" s="26">
        <v>6199</v>
      </c>
      <c r="J15" s="26">
        <v>6232</v>
      </c>
      <c r="K15" s="26">
        <v>6256</v>
      </c>
      <c r="L15" s="26">
        <v>6279</v>
      </c>
      <c r="M15" s="26">
        <v>6302</v>
      </c>
      <c r="N15" s="27">
        <f t="shared" ref="N15:N22" si="2">SUM(B15:M15)</f>
        <v>74091</v>
      </c>
    </row>
    <row r="16" spans="1:14" ht="15.75" customHeight="1" x14ac:dyDescent="0.2">
      <c r="A16" s="24" t="s">
        <v>112</v>
      </c>
      <c r="B16" s="26">
        <v>4187</v>
      </c>
      <c r="C16" s="26">
        <v>4203</v>
      </c>
      <c r="D16" s="26">
        <v>4220</v>
      </c>
      <c r="E16" s="26">
        <v>4236</v>
      </c>
      <c r="F16" s="26">
        <v>4253</v>
      </c>
      <c r="G16" s="26">
        <v>4270</v>
      </c>
      <c r="H16" s="26">
        <v>4287</v>
      </c>
      <c r="I16" s="26">
        <v>4204</v>
      </c>
      <c r="J16" s="26">
        <v>4221</v>
      </c>
      <c r="K16" s="26">
        <v>4238</v>
      </c>
      <c r="L16" s="26">
        <v>4255</v>
      </c>
      <c r="M16" s="26">
        <v>4272</v>
      </c>
      <c r="N16" s="27">
        <f t="shared" si="2"/>
        <v>50846</v>
      </c>
    </row>
    <row r="17" spans="1:14" ht="15.75" customHeight="1" x14ac:dyDescent="0.2">
      <c r="A17" s="24" t="s">
        <v>113</v>
      </c>
      <c r="B17" s="26">
        <v>641</v>
      </c>
      <c r="C17" s="26">
        <v>640</v>
      </c>
      <c r="D17" s="26">
        <v>638</v>
      </c>
      <c r="E17" s="26">
        <v>636</v>
      </c>
      <c r="F17" s="26">
        <v>635</v>
      </c>
      <c r="G17" s="26">
        <v>632</v>
      </c>
      <c r="H17" s="26">
        <v>629</v>
      </c>
      <c r="I17" s="26">
        <v>627</v>
      </c>
      <c r="J17" s="26">
        <v>625</v>
      </c>
      <c r="K17" s="26">
        <v>625</v>
      </c>
      <c r="L17" s="26">
        <v>623</v>
      </c>
      <c r="M17" s="26">
        <v>620</v>
      </c>
      <c r="N17" s="27">
        <f t="shared" si="2"/>
        <v>7571</v>
      </c>
    </row>
    <row r="18" spans="1:14" ht="15.75" customHeight="1" x14ac:dyDescent="0.2">
      <c r="A18" s="24" t="s">
        <v>114</v>
      </c>
      <c r="B18" s="26">
        <v>31455</v>
      </c>
      <c r="C18" s="26">
        <v>31468</v>
      </c>
      <c r="D18" s="26">
        <v>31482</v>
      </c>
      <c r="E18" s="26">
        <v>31496</v>
      </c>
      <c r="F18" s="26">
        <v>31511</v>
      </c>
      <c r="G18" s="26">
        <v>31526</v>
      </c>
      <c r="H18" s="26">
        <v>31542</v>
      </c>
      <c r="I18" s="26">
        <v>31558</v>
      </c>
      <c r="J18" s="26">
        <v>31574</v>
      </c>
      <c r="K18" s="26">
        <v>31591</v>
      </c>
      <c r="L18" s="26">
        <v>31609</v>
      </c>
      <c r="M18" s="26">
        <v>31626</v>
      </c>
      <c r="N18" s="27">
        <f t="shared" si="2"/>
        <v>378438</v>
      </c>
    </row>
    <row r="19" spans="1:14" ht="15.75" customHeight="1" x14ac:dyDescent="0.2">
      <c r="A19" s="24" t="s">
        <v>115</v>
      </c>
      <c r="B19" s="26">
        <v>341</v>
      </c>
      <c r="C19" s="26">
        <v>339</v>
      </c>
      <c r="D19" s="26">
        <v>338</v>
      </c>
      <c r="E19" s="26">
        <v>337</v>
      </c>
      <c r="F19" s="26">
        <v>336</v>
      </c>
      <c r="G19" s="26">
        <v>335</v>
      </c>
      <c r="H19" s="26">
        <v>334</v>
      </c>
      <c r="I19" s="26">
        <v>333</v>
      </c>
      <c r="J19" s="26">
        <v>332</v>
      </c>
      <c r="K19" s="26">
        <v>331</v>
      </c>
      <c r="L19" s="26">
        <v>330</v>
      </c>
      <c r="M19" s="26">
        <v>329</v>
      </c>
      <c r="N19" s="27">
        <f t="shared" si="2"/>
        <v>4015</v>
      </c>
    </row>
    <row r="20" spans="1:14" ht="15.75" customHeight="1" x14ac:dyDescent="0.2">
      <c r="A20" s="24" t="s">
        <v>116</v>
      </c>
      <c r="B20" s="26">
        <v>5166</v>
      </c>
      <c r="C20" s="26">
        <v>5184</v>
      </c>
      <c r="D20" s="26">
        <v>5203</v>
      </c>
      <c r="E20" s="26">
        <v>5222</v>
      </c>
      <c r="F20" s="26">
        <v>5241</v>
      </c>
      <c r="G20" s="26">
        <v>5259</v>
      </c>
      <c r="H20" s="26">
        <v>5278</v>
      </c>
      <c r="I20" s="26">
        <v>5297</v>
      </c>
      <c r="J20" s="26">
        <v>5317</v>
      </c>
      <c r="K20" s="26">
        <v>5336</v>
      </c>
      <c r="L20" s="26">
        <v>5355</v>
      </c>
      <c r="M20" s="26">
        <v>5374</v>
      </c>
      <c r="N20" s="27">
        <f t="shared" si="2"/>
        <v>63232</v>
      </c>
    </row>
    <row r="21" spans="1:14" ht="15.75" customHeight="1" x14ac:dyDescent="0.2">
      <c r="A21" s="24" t="s">
        <v>117</v>
      </c>
      <c r="B21" s="30">
        <v>1000</v>
      </c>
      <c r="C21" s="30">
        <v>1003</v>
      </c>
      <c r="D21" s="30">
        <v>1007</v>
      </c>
      <c r="E21" s="30">
        <v>1010</v>
      </c>
      <c r="F21" s="30">
        <v>1014</v>
      </c>
      <c r="G21" s="30">
        <v>1018</v>
      </c>
      <c r="H21" s="30">
        <v>1021</v>
      </c>
      <c r="I21" s="30">
        <v>1025</v>
      </c>
      <c r="J21" s="30">
        <v>1029</v>
      </c>
      <c r="K21" s="30">
        <v>1032</v>
      </c>
      <c r="L21" s="30">
        <v>1036</v>
      </c>
      <c r="M21" s="30">
        <v>1040.4345844004035</v>
      </c>
      <c r="N21" s="31">
        <f t="shared" si="2"/>
        <v>12235.434584400404</v>
      </c>
    </row>
    <row r="22" spans="1:14" ht="15.75" customHeight="1" x14ac:dyDescent="0.2">
      <c r="A22" s="38" t="s">
        <v>118</v>
      </c>
      <c r="B22" s="33">
        <f t="shared" ref="B22:M22" si="3">SUM(B15:B21)</f>
        <v>48840</v>
      </c>
      <c r="C22" s="33">
        <f t="shared" si="3"/>
        <v>48909</v>
      </c>
      <c r="D22" s="33">
        <f t="shared" si="3"/>
        <v>48983</v>
      </c>
      <c r="E22" s="33">
        <f t="shared" si="3"/>
        <v>49054</v>
      </c>
      <c r="F22" s="33">
        <f t="shared" si="3"/>
        <v>49130</v>
      </c>
      <c r="G22" s="33">
        <f t="shared" si="3"/>
        <v>49203</v>
      </c>
      <c r="H22" s="33">
        <f t="shared" si="3"/>
        <v>49277</v>
      </c>
      <c r="I22" s="33">
        <f t="shared" si="3"/>
        <v>49243</v>
      </c>
      <c r="J22" s="33">
        <f t="shared" si="3"/>
        <v>49330</v>
      </c>
      <c r="K22" s="33">
        <f t="shared" si="3"/>
        <v>49409</v>
      </c>
      <c r="L22" s="33">
        <f t="shared" si="3"/>
        <v>49487</v>
      </c>
      <c r="M22" s="33">
        <f t="shared" si="3"/>
        <v>49563.434584400406</v>
      </c>
      <c r="N22" s="34">
        <f t="shared" si="2"/>
        <v>590428.43458440038</v>
      </c>
    </row>
    <row r="23" spans="1:14" ht="15.75" customHeight="1" x14ac:dyDescent="0.2">
      <c r="A23" s="22" t="s">
        <v>119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/>
    </row>
    <row r="24" spans="1:14" ht="15.75" customHeight="1" x14ac:dyDescent="0.2">
      <c r="A24" s="32" t="s">
        <v>120</v>
      </c>
      <c r="B24" s="41">
        <f t="shared" ref="B24:N24" si="4">B13-B22</f>
        <v>4377</v>
      </c>
      <c r="C24" s="41">
        <f t="shared" si="4"/>
        <v>4500</v>
      </c>
      <c r="D24" s="41">
        <f t="shared" si="4"/>
        <v>4619</v>
      </c>
      <c r="E24" s="41">
        <f t="shared" si="4"/>
        <v>4842</v>
      </c>
      <c r="F24" s="41">
        <f t="shared" si="4"/>
        <v>5060</v>
      </c>
      <c r="G24" s="41">
        <f t="shared" si="4"/>
        <v>5202</v>
      </c>
      <c r="H24" s="41">
        <f t="shared" si="4"/>
        <v>5431</v>
      </c>
      <c r="I24" s="41">
        <f t="shared" si="4"/>
        <v>5753</v>
      </c>
      <c r="J24" s="41">
        <f t="shared" si="4"/>
        <v>5944</v>
      </c>
      <c r="K24" s="41">
        <f t="shared" si="4"/>
        <v>6563</v>
      </c>
      <c r="L24" s="41">
        <f t="shared" si="4"/>
        <v>6682</v>
      </c>
      <c r="M24" s="41">
        <f t="shared" si="4"/>
        <v>5805.5654155995944</v>
      </c>
      <c r="N24" s="42">
        <f t="shared" si="4"/>
        <v>64778.565415599616</v>
      </c>
    </row>
    <row r="25" spans="1:14" ht="15.75" customHeight="1" x14ac:dyDescent="0.2">
      <c r="A25" s="43" t="s">
        <v>121</v>
      </c>
      <c r="B25" s="44">
        <v>1079</v>
      </c>
      <c r="C25" s="44">
        <v>1082</v>
      </c>
      <c r="D25" s="44">
        <v>1086</v>
      </c>
      <c r="E25" s="44">
        <v>1090</v>
      </c>
      <c r="F25" s="44">
        <v>1094</v>
      </c>
      <c r="G25" s="44">
        <v>1098</v>
      </c>
      <c r="H25" s="44">
        <v>1102</v>
      </c>
      <c r="I25" s="44">
        <v>1106</v>
      </c>
      <c r="J25" s="44">
        <v>1110</v>
      </c>
      <c r="K25" s="44">
        <v>1114</v>
      </c>
      <c r="L25" s="44">
        <v>1118</v>
      </c>
      <c r="M25" s="44">
        <v>1122</v>
      </c>
      <c r="N25" s="45">
        <f>SUM(B25:M25)</f>
        <v>13201</v>
      </c>
    </row>
    <row r="26" spans="1:14" ht="15.75" customHeight="1" x14ac:dyDescent="0.2">
      <c r="A26" s="46" t="s">
        <v>122</v>
      </c>
      <c r="B26" s="47">
        <f t="shared" ref="B26:N26" si="5">B24-B25</f>
        <v>3298</v>
      </c>
      <c r="C26" s="47">
        <f t="shared" si="5"/>
        <v>3418</v>
      </c>
      <c r="D26" s="47">
        <f t="shared" si="5"/>
        <v>3533</v>
      </c>
      <c r="E26" s="47">
        <f t="shared" si="5"/>
        <v>3752</v>
      </c>
      <c r="F26" s="47">
        <f t="shared" si="5"/>
        <v>3966</v>
      </c>
      <c r="G26" s="47">
        <f t="shared" si="5"/>
        <v>4104</v>
      </c>
      <c r="H26" s="47">
        <f t="shared" si="5"/>
        <v>4329</v>
      </c>
      <c r="I26" s="47">
        <f t="shared" si="5"/>
        <v>4647</v>
      </c>
      <c r="J26" s="47">
        <f t="shared" si="5"/>
        <v>4834</v>
      </c>
      <c r="K26" s="47">
        <f t="shared" si="5"/>
        <v>5449</v>
      </c>
      <c r="L26" s="47">
        <f t="shared" si="5"/>
        <v>5564</v>
      </c>
      <c r="M26" s="47">
        <f t="shared" si="5"/>
        <v>4683.5654155995944</v>
      </c>
      <c r="N26" s="48">
        <f t="shared" si="5"/>
        <v>51577.565415599616</v>
      </c>
    </row>
    <row r="27" spans="1:14" ht="15.75" customHeight="1" x14ac:dyDescent="0.2"/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spans="3:11" ht="15.75" customHeight="1" x14ac:dyDescent="0.2">
      <c r="K33" s="25"/>
    </row>
    <row r="34" spans="3:11" ht="15.75" customHeight="1" x14ac:dyDescent="0.2">
      <c r="K34" s="25"/>
    </row>
    <row r="35" spans="3:11" ht="15.75" customHeight="1" x14ac:dyDescent="0.2">
      <c r="C35" s="15"/>
      <c r="K35" s="25"/>
    </row>
    <row r="36" spans="3:11" ht="15.75" customHeight="1" x14ac:dyDescent="0.2">
      <c r="K36" s="25"/>
    </row>
    <row r="37" spans="3:11" ht="15.75" customHeight="1" x14ac:dyDescent="0.2">
      <c r="K37" s="25"/>
    </row>
    <row r="38" spans="3:11" ht="15.75" customHeight="1" x14ac:dyDescent="0.2">
      <c r="K38" s="25"/>
    </row>
    <row r="39" spans="3:11" ht="15.75" customHeight="1" x14ac:dyDescent="0.2">
      <c r="K39" s="25"/>
    </row>
    <row r="40" spans="3:11" ht="15.75" customHeight="1" x14ac:dyDescent="0.2">
      <c r="K40" s="25"/>
    </row>
    <row r="41" spans="3:11" ht="15.75" customHeight="1" x14ac:dyDescent="0.2">
      <c r="K41" s="25"/>
    </row>
    <row r="42" spans="3:11" ht="15.75" customHeight="1" x14ac:dyDescent="0.2">
      <c r="K42" s="25"/>
    </row>
    <row r="43" spans="3:11" ht="15.75" customHeight="1" x14ac:dyDescent="0.2">
      <c r="K43" s="25"/>
    </row>
    <row r="44" spans="3:11" ht="15.75" customHeight="1" x14ac:dyDescent="0.2">
      <c r="K44" s="25"/>
    </row>
    <row r="45" spans="3:11" ht="15.75" customHeight="1" x14ac:dyDescent="0.2">
      <c r="K45" s="25"/>
    </row>
    <row r="46" spans="3:11" ht="15.75" customHeight="1" x14ac:dyDescent="0.2">
      <c r="K46" s="25"/>
    </row>
    <row r="47" spans="3:11" ht="15.75" customHeight="1" x14ac:dyDescent="0.2">
      <c r="K47" s="25"/>
    </row>
    <row r="48" spans="3:11" ht="15.75" customHeight="1" x14ac:dyDescent="0.2">
      <c r="K48" s="25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dataValidations count="1">
    <dataValidation type="list" allowBlank="1" showErrorMessage="1" sqref="B6" xr:uid="{00000000-0002-0000-0100-000000000000}">
      <formula1>$B$9:$M$9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1"/>
  <sheetViews>
    <sheetView showGridLines="0" workbookViewId="0">
      <selection activeCell="A8" sqref="A8"/>
    </sheetView>
  </sheetViews>
  <sheetFormatPr baseColWidth="10" defaultColWidth="11.1640625" defaultRowHeight="15" customHeight="1" x14ac:dyDescent="0.2"/>
  <cols>
    <col min="1" max="1" width="33" customWidth="1"/>
    <col min="2" max="12" width="11.6640625" customWidth="1"/>
    <col min="13" max="14" width="11.83203125" customWidth="1"/>
    <col min="15" max="26" width="10.5" customWidth="1"/>
  </cols>
  <sheetData>
    <row r="1" spans="1:14" ht="15.75" customHeight="1" x14ac:dyDescent="0.3">
      <c r="A1" s="16"/>
      <c r="B1" s="17"/>
      <c r="C1" s="11"/>
      <c r="D1" s="11"/>
      <c r="E1" s="11"/>
      <c r="F1" s="11"/>
    </row>
    <row r="2" spans="1:14" ht="15.75" customHeight="1" x14ac:dyDescent="0.2">
      <c r="A2" s="16"/>
      <c r="B2" s="18" t="s">
        <v>89</v>
      </c>
      <c r="C2" s="18"/>
      <c r="D2" s="11"/>
      <c r="E2" s="11"/>
      <c r="F2" s="11"/>
    </row>
    <row r="3" spans="1:14" ht="15.75" customHeight="1" x14ac:dyDescent="0.2">
      <c r="A3" s="16"/>
      <c r="B3" s="18" t="s">
        <v>90</v>
      </c>
      <c r="C3" s="18"/>
      <c r="D3" s="11"/>
      <c r="E3" s="11"/>
      <c r="F3" s="11"/>
    </row>
    <row r="4" spans="1:14" ht="15.75" customHeight="1" x14ac:dyDescent="0.2">
      <c r="A4" s="16"/>
      <c r="B4" s="11" t="s">
        <v>91</v>
      </c>
      <c r="C4" s="18"/>
      <c r="D4" s="11"/>
      <c r="E4" s="11"/>
      <c r="F4" s="11"/>
    </row>
    <row r="5" spans="1:14" ht="15.75" customHeight="1" x14ac:dyDescent="0.3">
      <c r="A5" s="17"/>
      <c r="B5" s="11"/>
      <c r="C5" s="17"/>
      <c r="D5" s="17"/>
      <c r="E5" s="17"/>
      <c r="F5" s="17"/>
    </row>
    <row r="6" spans="1:14" ht="15.75" customHeight="1" x14ac:dyDescent="0.2">
      <c r="A6" s="19" t="s">
        <v>94</v>
      </c>
      <c r="B6" s="19" t="s">
        <v>123</v>
      </c>
    </row>
    <row r="7" spans="1:14" ht="15.75" customHeight="1" x14ac:dyDescent="0.2">
      <c r="A7" s="19" t="s">
        <v>107</v>
      </c>
      <c r="B7" s="19" t="s">
        <v>124</v>
      </c>
    </row>
    <row r="8" spans="1:14" ht="15.75" customHeight="1" x14ac:dyDescent="0.2">
      <c r="A8" s="53">
        <f>INDEX(B12:N27,MATCH(A7,A12:A27,0),MATCH(A6,B10:M10,0))</f>
        <v>84672</v>
      </c>
      <c r="B8" s="19" t="s">
        <v>125</v>
      </c>
    </row>
    <row r="9" spans="1:14" ht="15.75" customHeight="1" x14ac:dyDescent="0.2"/>
    <row r="10" spans="1:14" ht="15.75" customHeight="1" x14ac:dyDescent="0.2">
      <c r="A10" s="20"/>
      <c r="B10" s="20" t="s">
        <v>94</v>
      </c>
      <c r="C10" s="20" t="s">
        <v>95</v>
      </c>
      <c r="D10" s="20" t="s">
        <v>92</v>
      </c>
      <c r="E10" s="20" t="s">
        <v>96</v>
      </c>
      <c r="F10" s="20" t="s">
        <v>97</v>
      </c>
      <c r="G10" s="20" t="s">
        <v>98</v>
      </c>
      <c r="H10" s="20" t="s">
        <v>99</v>
      </c>
      <c r="I10" s="20" t="s">
        <v>100</v>
      </c>
      <c r="J10" s="20" t="s">
        <v>101</v>
      </c>
      <c r="K10" s="20" t="s">
        <v>102</v>
      </c>
      <c r="L10" s="20" t="s">
        <v>103</v>
      </c>
      <c r="M10" s="20" t="s">
        <v>104</v>
      </c>
      <c r="N10" s="21" t="s">
        <v>105</v>
      </c>
    </row>
    <row r="11" spans="1:14" ht="15.75" customHeight="1" x14ac:dyDescent="0.2">
      <c r="A11" s="22" t="s">
        <v>106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</row>
    <row r="12" spans="1:14" ht="15.75" customHeight="1" x14ac:dyDescent="0.2">
      <c r="A12" s="24" t="s">
        <v>107</v>
      </c>
      <c r="B12" s="25">
        <v>84672</v>
      </c>
      <c r="C12" s="26">
        <v>84977</v>
      </c>
      <c r="D12" s="26">
        <v>85284</v>
      </c>
      <c r="E12" s="26">
        <v>85592</v>
      </c>
      <c r="F12" s="26">
        <v>85901</v>
      </c>
      <c r="G12" s="26">
        <v>86211</v>
      </c>
      <c r="H12" s="26">
        <v>86522</v>
      </c>
      <c r="I12" s="26">
        <v>86834</v>
      </c>
      <c r="J12" s="26">
        <v>87148</v>
      </c>
      <c r="K12" s="26">
        <v>87463</v>
      </c>
      <c r="L12" s="26">
        <v>87778</v>
      </c>
      <c r="M12" s="26">
        <v>88095</v>
      </c>
      <c r="N12" s="27">
        <f t="shared" ref="N12:N14" si="0">SUM(B12:M12)</f>
        <v>1036477</v>
      </c>
    </row>
    <row r="13" spans="1:14" ht="15.75" customHeight="1" x14ac:dyDescent="0.2">
      <c r="A13" s="28" t="s">
        <v>108</v>
      </c>
      <c r="B13" s="29">
        <v>31455</v>
      </c>
      <c r="C13" s="30">
        <v>31568</v>
      </c>
      <c r="D13" s="30">
        <v>31682</v>
      </c>
      <c r="E13" s="30">
        <v>31696</v>
      </c>
      <c r="F13" s="30">
        <v>31711</v>
      </c>
      <c r="G13" s="30">
        <v>31806</v>
      </c>
      <c r="H13" s="30">
        <v>31814</v>
      </c>
      <c r="I13" s="30">
        <v>31838</v>
      </c>
      <c r="J13" s="30">
        <v>31874</v>
      </c>
      <c r="K13" s="30">
        <v>31491</v>
      </c>
      <c r="L13" s="30">
        <v>31609</v>
      </c>
      <c r="M13" s="30">
        <v>32726</v>
      </c>
      <c r="N13" s="31">
        <f t="shared" si="0"/>
        <v>381270</v>
      </c>
    </row>
    <row r="14" spans="1:14" ht="15.75" customHeight="1" x14ac:dyDescent="0.2">
      <c r="A14" s="32" t="s">
        <v>109</v>
      </c>
      <c r="B14" s="33">
        <f t="shared" ref="B14:M14" si="1">B12-B13</f>
        <v>53217</v>
      </c>
      <c r="C14" s="33">
        <f t="shared" si="1"/>
        <v>53409</v>
      </c>
      <c r="D14" s="33">
        <f t="shared" si="1"/>
        <v>53602</v>
      </c>
      <c r="E14" s="33">
        <f t="shared" si="1"/>
        <v>53896</v>
      </c>
      <c r="F14" s="33">
        <f t="shared" si="1"/>
        <v>54190</v>
      </c>
      <c r="G14" s="33">
        <f t="shared" si="1"/>
        <v>54405</v>
      </c>
      <c r="H14" s="33">
        <f t="shared" si="1"/>
        <v>54708</v>
      </c>
      <c r="I14" s="33">
        <f t="shared" si="1"/>
        <v>54996</v>
      </c>
      <c r="J14" s="33">
        <f t="shared" si="1"/>
        <v>55274</v>
      </c>
      <c r="K14" s="33">
        <f t="shared" si="1"/>
        <v>55972</v>
      </c>
      <c r="L14" s="33">
        <f t="shared" si="1"/>
        <v>56169</v>
      </c>
      <c r="M14" s="33">
        <f t="shared" si="1"/>
        <v>55369</v>
      </c>
      <c r="N14" s="34">
        <f t="shared" si="0"/>
        <v>655207</v>
      </c>
    </row>
    <row r="15" spans="1:14" ht="15.75" customHeight="1" x14ac:dyDescent="0.2">
      <c r="A15" s="35" t="s">
        <v>110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</row>
    <row r="16" spans="1:14" ht="15.75" customHeight="1" x14ac:dyDescent="0.2">
      <c r="A16" s="24" t="s">
        <v>111</v>
      </c>
      <c r="B16" s="26">
        <v>6050</v>
      </c>
      <c r="C16" s="26">
        <v>6072</v>
      </c>
      <c r="D16" s="26">
        <v>6095</v>
      </c>
      <c r="E16" s="26">
        <v>6117</v>
      </c>
      <c r="F16" s="26">
        <v>6140</v>
      </c>
      <c r="G16" s="26">
        <v>6163</v>
      </c>
      <c r="H16" s="26">
        <v>6186</v>
      </c>
      <c r="I16" s="26">
        <v>6199</v>
      </c>
      <c r="J16" s="26">
        <v>6232</v>
      </c>
      <c r="K16" s="26">
        <v>6256</v>
      </c>
      <c r="L16" s="26">
        <v>6279</v>
      </c>
      <c r="M16" s="26">
        <v>6302</v>
      </c>
      <c r="N16" s="27">
        <f t="shared" ref="N16:N23" si="2">SUM(B16:M16)</f>
        <v>74091</v>
      </c>
    </row>
    <row r="17" spans="1:14" ht="15.75" customHeight="1" x14ac:dyDescent="0.2">
      <c r="A17" s="24" t="s">
        <v>112</v>
      </c>
      <c r="B17" s="26">
        <v>4187</v>
      </c>
      <c r="C17" s="26">
        <v>4203</v>
      </c>
      <c r="D17" s="26">
        <v>4220</v>
      </c>
      <c r="E17" s="26">
        <v>4236</v>
      </c>
      <c r="F17" s="26">
        <v>4253</v>
      </c>
      <c r="G17" s="26">
        <v>4270</v>
      </c>
      <c r="H17" s="26">
        <v>4287</v>
      </c>
      <c r="I17" s="26">
        <v>4204</v>
      </c>
      <c r="J17" s="26">
        <v>4221</v>
      </c>
      <c r="K17" s="26">
        <v>4238</v>
      </c>
      <c r="L17" s="26">
        <v>4255</v>
      </c>
      <c r="M17" s="26">
        <v>4272</v>
      </c>
      <c r="N17" s="27">
        <f t="shared" si="2"/>
        <v>50846</v>
      </c>
    </row>
    <row r="18" spans="1:14" ht="15.75" customHeight="1" x14ac:dyDescent="0.2">
      <c r="A18" s="24" t="s">
        <v>113</v>
      </c>
      <c r="B18" s="26">
        <v>641</v>
      </c>
      <c r="C18" s="26">
        <v>640</v>
      </c>
      <c r="D18" s="26">
        <v>638</v>
      </c>
      <c r="E18" s="26">
        <v>636</v>
      </c>
      <c r="F18" s="26">
        <v>635</v>
      </c>
      <c r="G18" s="26">
        <v>632</v>
      </c>
      <c r="H18" s="26">
        <v>629</v>
      </c>
      <c r="I18" s="26">
        <v>627</v>
      </c>
      <c r="J18" s="26">
        <v>625</v>
      </c>
      <c r="K18" s="26">
        <v>625</v>
      </c>
      <c r="L18" s="26">
        <v>623</v>
      </c>
      <c r="M18" s="26">
        <v>620</v>
      </c>
      <c r="N18" s="27">
        <f t="shared" si="2"/>
        <v>7571</v>
      </c>
    </row>
    <row r="19" spans="1:14" ht="15.75" customHeight="1" x14ac:dyDescent="0.2">
      <c r="A19" s="24" t="s">
        <v>114</v>
      </c>
      <c r="B19" s="26">
        <v>31455</v>
      </c>
      <c r="C19" s="26">
        <v>31468</v>
      </c>
      <c r="D19" s="26">
        <v>31482</v>
      </c>
      <c r="E19" s="26">
        <v>31496</v>
      </c>
      <c r="F19" s="26">
        <v>31511</v>
      </c>
      <c r="G19" s="26">
        <v>31526</v>
      </c>
      <c r="H19" s="26">
        <v>31542</v>
      </c>
      <c r="I19" s="26">
        <v>31558</v>
      </c>
      <c r="J19" s="26">
        <v>31574</v>
      </c>
      <c r="K19" s="26">
        <v>31591</v>
      </c>
      <c r="L19" s="26">
        <v>31609</v>
      </c>
      <c r="M19" s="26">
        <v>31626</v>
      </c>
      <c r="N19" s="27">
        <f t="shared" si="2"/>
        <v>378438</v>
      </c>
    </row>
    <row r="20" spans="1:14" ht="15.75" customHeight="1" x14ac:dyDescent="0.2">
      <c r="A20" s="24" t="s">
        <v>115</v>
      </c>
      <c r="B20" s="26">
        <v>341</v>
      </c>
      <c r="C20" s="26">
        <v>339</v>
      </c>
      <c r="D20" s="26">
        <v>338</v>
      </c>
      <c r="E20" s="26">
        <v>337</v>
      </c>
      <c r="F20" s="26">
        <v>336</v>
      </c>
      <c r="G20" s="26">
        <v>335</v>
      </c>
      <c r="H20" s="26">
        <v>334</v>
      </c>
      <c r="I20" s="26">
        <v>333</v>
      </c>
      <c r="J20" s="26">
        <v>332</v>
      </c>
      <c r="K20" s="26">
        <v>331</v>
      </c>
      <c r="L20" s="26">
        <v>330</v>
      </c>
      <c r="M20" s="26">
        <v>329</v>
      </c>
      <c r="N20" s="27">
        <f t="shared" si="2"/>
        <v>4015</v>
      </c>
    </row>
    <row r="21" spans="1:14" ht="15.75" customHeight="1" x14ac:dyDescent="0.2">
      <c r="A21" s="24" t="s">
        <v>116</v>
      </c>
      <c r="B21" s="26">
        <v>5166</v>
      </c>
      <c r="C21" s="26">
        <v>5184</v>
      </c>
      <c r="D21" s="26">
        <v>5203</v>
      </c>
      <c r="E21" s="26">
        <v>5222</v>
      </c>
      <c r="F21" s="26">
        <v>5241</v>
      </c>
      <c r="G21" s="26">
        <v>5259</v>
      </c>
      <c r="H21" s="26">
        <v>5278</v>
      </c>
      <c r="I21" s="26">
        <v>5297</v>
      </c>
      <c r="J21" s="26">
        <v>5317</v>
      </c>
      <c r="K21" s="26">
        <v>5336</v>
      </c>
      <c r="L21" s="26">
        <v>5355</v>
      </c>
      <c r="M21" s="26">
        <v>5374</v>
      </c>
      <c r="N21" s="27">
        <f t="shared" si="2"/>
        <v>63232</v>
      </c>
    </row>
    <row r="22" spans="1:14" ht="15.75" customHeight="1" x14ac:dyDescent="0.2">
      <c r="A22" s="24" t="s">
        <v>117</v>
      </c>
      <c r="B22" s="30">
        <v>1000</v>
      </c>
      <c r="C22" s="30">
        <v>1003</v>
      </c>
      <c r="D22" s="30">
        <v>1007</v>
      </c>
      <c r="E22" s="30">
        <v>1010</v>
      </c>
      <c r="F22" s="30">
        <v>1014</v>
      </c>
      <c r="G22" s="30">
        <v>1018</v>
      </c>
      <c r="H22" s="30">
        <v>1021</v>
      </c>
      <c r="I22" s="30">
        <v>1025</v>
      </c>
      <c r="J22" s="30">
        <v>1029</v>
      </c>
      <c r="K22" s="30">
        <v>1032</v>
      </c>
      <c r="L22" s="30">
        <v>1036</v>
      </c>
      <c r="M22" s="30">
        <v>1040.4345844004035</v>
      </c>
      <c r="N22" s="31">
        <f t="shared" si="2"/>
        <v>12235.434584400404</v>
      </c>
    </row>
    <row r="23" spans="1:14" ht="15.75" customHeight="1" x14ac:dyDescent="0.2">
      <c r="A23" s="38" t="s">
        <v>118</v>
      </c>
      <c r="B23" s="33">
        <f t="shared" ref="B23:M23" si="3">SUM(B16:B22)</f>
        <v>48840</v>
      </c>
      <c r="C23" s="33">
        <f t="shared" si="3"/>
        <v>48909</v>
      </c>
      <c r="D23" s="33">
        <f t="shared" si="3"/>
        <v>48983</v>
      </c>
      <c r="E23" s="33">
        <f t="shared" si="3"/>
        <v>49054</v>
      </c>
      <c r="F23" s="33">
        <f t="shared" si="3"/>
        <v>49130</v>
      </c>
      <c r="G23" s="33">
        <f t="shared" si="3"/>
        <v>49203</v>
      </c>
      <c r="H23" s="33">
        <f t="shared" si="3"/>
        <v>49277</v>
      </c>
      <c r="I23" s="33">
        <f t="shared" si="3"/>
        <v>49243</v>
      </c>
      <c r="J23" s="33">
        <f t="shared" si="3"/>
        <v>49330</v>
      </c>
      <c r="K23" s="33">
        <f t="shared" si="3"/>
        <v>49409</v>
      </c>
      <c r="L23" s="33">
        <f t="shared" si="3"/>
        <v>49487</v>
      </c>
      <c r="M23" s="33">
        <f t="shared" si="3"/>
        <v>49563.434584400406</v>
      </c>
      <c r="N23" s="34">
        <f t="shared" si="2"/>
        <v>590428.43458440038</v>
      </c>
    </row>
    <row r="24" spans="1:14" ht="15.75" customHeight="1" x14ac:dyDescent="0.2">
      <c r="A24" s="22" t="s">
        <v>119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</row>
    <row r="25" spans="1:14" ht="15.75" customHeight="1" x14ac:dyDescent="0.2">
      <c r="A25" s="32" t="s">
        <v>120</v>
      </c>
      <c r="B25" s="41">
        <f t="shared" ref="B25:N25" si="4">B14-B23</f>
        <v>4377</v>
      </c>
      <c r="C25" s="41">
        <f t="shared" si="4"/>
        <v>4500</v>
      </c>
      <c r="D25" s="41">
        <f t="shared" si="4"/>
        <v>4619</v>
      </c>
      <c r="E25" s="41">
        <f t="shared" si="4"/>
        <v>4842</v>
      </c>
      <c r="F25" s="41">
        <f t="shared" si="4"/>
        <v>5060</v>
      </c>
      <c r="G25" s="41">
        <f t="shared" si="4"/>
        <v>5202</v>
      </c>
      <c r="H25" s="41">
        <f t="shared" si="4"/>
        <v>5431</v>
      </c>
      <c r="I25" s="41">
        <f t="shared" si="4"/>
        <v>5753</v>
      </c>
      <c r="J25" s="41">
        <f t="shared" si="4"/>
        <v>5944</v>
      </c>
      <c r="K25" s="41">
        <f t="shared" si="4"/>
        <v>6563</v>
      </c>
      <c r="L25" s="41">
        <f t="shared" si="4"/>
        <v>6682</v>
      </c>
      <c r="M25" s="41">
        <f t="shared" si="4"/>
        <v>5805.5654155995944</v>
      </c>
      <c r="N25" s="42">
        <f t="shared" si="4"/>
        <v>64778.565415599616</v>
      </c>
    </row>
    <row r="26" spans="1:14" ht="15.75" customHeight="1" x14ac:dyDescent="0.2">
      <c r="A26" s="43" t="s">
        <v>121</v>
      </c>
      <c r="B26" s="44">
        <v>1079</v>
      </c>
      <c r="C26" s="44">
        <v>1082</v>
      </c>
      <c r="D26" s="44">
        <v>1086</v>
      </c>
      <c r="E26" s="44">
        <v>1090</v>
      </c>
      <c r="F26" s="44">
        <v>1094</v>
      </c>
      <c r="G26" s="44">
        <v>1098</v>
      </c>
      <c r="H26" s="44">
        <v>1102</v>
      </c>
      <c r="I26" s="44">
        <v>1106</v>
      </c>
      <c r="J26" s="44">
        <v>1110</v>
      </c>
      <c r="K26" s="44">
        <v>1114</v>
      </c>
      <c r="L26" s="44">
        <v>1118</v>
      </c>
      <c r="M26" s="44">
        <v>1122</v>
      </c>
      <c r="N26" s="45">
        <f>SUM(B26:M26)</f>
        <v>13201</v>
      </c>
    </row>
    <row r="27" spans="1:14" ht="15.75" customHeight="1" x14ac:dyDescent="0.2">
      <c r="A27" s="46" t="s">
        <v>122</v>
      </c>
      <c r="B27" s="47">
        <f t="shared" ref="B27:N27" si="5">B25-B26</f>
        <v>3298</v>
      </c>
      <c r="C27" s="47">
        <f t="shared" si="5"/>
        <v>3418</v>
      </c>
      <c r="D27" s="47">
        <f t="shared" si="5"/>
        <v>3533</v>
      </c>
      <c r="E27" s="47">
        <f t="shared" si="5"/>
        <v>3752</v>
      </c>
      <c r="F27" s="47">
        <f t="shared" si="5"/>
        <v>3966</v>
      </c>
      <c r="G27" s="47">
        <f t="shared" si="5"/>
        <v>4104</v>
      </c>
      <c r="H27" s="47">
        <f t="shared" si="5"/>
        <v>4329</v>
      </c>
      <c r="I27" s="47">
        <f t="shared" si="5"/>
        <v>4647</v>
      </c>
      <c r="J27" s="47">
        <f t="shared" si="5"/>
        <v>4834</v>
      </c>
      <c r="K27" s="47">
        <f t="shared" si="5"/>
        <v>5449</v>
      </c>
      <c r="L27" s="47">
        <f t="shared" si="5"/>
        <v>5564</v>
      </c>
      <c r="M27" s="47">
        <f t="shared" si="5"/>
        <v>4683.5654155995944</v>
      </c>
      <c r="N27" s="48">
        <f t="shared" si="5"/>
        <v>51577.565415599616</v>
      </c>
    </row>
    <row r="28" spans="1:14" ht="15.75" customHeight="1" x14ac:dyDescent="0.2"/>
    <row r="29" spans="1:14" ht="15.75" customHeight="1" x14ac:dyDescent="0.2"/>
    <row r="30" spans="1:14" ht="15.75" customHeight="1" x14ac:dyDescent="0.2">
      <c r="A30" s="49" t="s">
        <v>126</v>
      </c>
    </row>
    <row r="31" spans="1:14" ht="15.75" customHeight="1" x14ac:dyDescent="0.2">
      <c r="A31" s="19" t="s">
        <v>107</v>
      </c>
    </row>
    <row r="32" spans="1:14" ht="15.75" customHeight="1" x14ac:dyDescent="0.2">
      <c r="A32" s="19" t="s">
        <v>108</v>
      </c>
    </row>
    <row r="33" spans="1:11" ht="15.75" customHeight="1" x14ac:dyDescent="0.2">
      <c r="A33" s="19" t="s">
        <v>109</v>
      </c>
      <c r="K33" s="25"/>
    </row>
    <row r="34" spans="1:11" ht="15.75" customHeight="1" x14ac:dyDescent="0.2">
      <c r="A34" s="19" t="s">
        <v>111</v>
      </c>
      <c r="C34" s="15"/>
      <c r="K34" s="25"/>
    </row>
    <row r="35" spans="1:11" ht="15.75" customHeight="1" x14ac:dyDescent="0.2">
      <c r="A35" s="19" t="s">
        <v>112</v>
      </c>
      <c r="K35" s="25"/>
    </row>
    <row r="36" spans="1:11" ht="15.75" customHeight="1" x14ac:dyDescent="0.2">
      <c r="A36" s="19" t="s">
        <v>113</v>
      </c>
      <c r="K36" s="25"/>
    </row>
    <row r="37" spans="1:11" ht="15.75" customHeight="1" x14ac:dyDescent="0.2">
      <c r="A37" s="19" t="s">
        <v>114</v>
      </c>
      <c r="K37" s="25"/>
    </row>
    <row r="38" spans="1:11" ht="15.75" customHeight="1" x14ac:dyDescent="0.2">
      <c r="A38" s="19" t="s">
        <v>115</v>
      </c>
      <c r="K38" s="25"/>
    </row>
    <row r="39" spans="1:11" ht="15.75" customHeight="1" x14ac:dyDescent="0.2">
      <c r="A39" s="19" t="s">
        <v>116</v>
      </c>
      <c r="K39" s="25"/>
    </row>
    <row r="40" spans="1:11" ht="15.75" customHeight="1" x14ac:dyDescent="0.2">
      <c r="A40" s="19" t="s">
        <v>117</v>
      </c>
      <c r="K40" s="25"/>
    </row>
    <row r="41" spans="1:11" ht="15.75" customHeight="1" x14ac:dyDescent="0.2">
      <c r="A41" s="19" t="s">
        <v>118</v>
      </c>
      <c r="K41" s="25"/>
    </row>
    <row r="42" spans="1:11" ht="15.75" customHeight="1" x14ac:dyDescent="0.2">
      <c r="A42" s="19" t="s">
        <v>120</v>
      </c>
      <c r="K42" s="25"/>
    </row>
    <row r="43" spans="1:11" ht="15.75" customHeight="1" x14ac:dyDescent="0.2">
      <c r="A43" s="19" t="s">
        <v>121</v>
      </c>
      <c r="K43" s="25"/>
    </row>
    <row r="44" spans="1:11" ht="15.75" customHeight="1" x14ac:dyDescent="0.2">
      <c r="A44" s="19" t="s">
        <v>122</v>
      </c>
      <c r="K44" s="25"/>
    </row>
    <row r="45" spans="1:11" ht="15.75" customHeight="1" x14ac:dyDescent="0.2">
      <c r="K45" s="25"/>
    </row>
    <row r="46" spans="1:11" ht="15.75" customHeight="1" x14ac:dyDescent="0.2">
      <c r="K46" s="25"/>
    </row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dataValidations count="2">
    <dataValidation type="list" allowBlank="1" showErrorMessage="1" sqref="A7" xr:uid="{00000000-0002-0000-0200-000000000000}">
      <formula1>$A$31:$A$44</formula1>
    </dataValidation>
    <dataValidation type="list" allowBlank="1" showErrorMessage="1" sqref="A6" xr:uid="{00000000-0002-0000-0200-000001000000}">
      <formula1>$B$10:$M$10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Match - Vertical</vt:lpstr>
      <vt:lpstr>Index Match - Horizontal</vt:lpstr>
      <vt:lpstr>Index Match - Bi-directional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Pham</cp:lastModifiedBy>
  <dcterms:modified xsi:type="dcterms:W3CDTF">2026-10-30T02:23:23Z</dcterms:modified>
</cp:coreProperties>
</file>